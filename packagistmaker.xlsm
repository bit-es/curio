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53582\Documents\GitHub\curio\"/>
    </mc:Choice>
  </mc:AlternateContent>
  <xr:revisionPtr revIDLastSave="0" documentId="13_ncr:1_{BB28377B-1B7B-4A17-8D47-26ACBE5ECCDC}" xr6:coauthVersionLast="47" xr6:coauthVersionMax="47" xr10:uidLastSave="{00000000-0000-0000-0000-000000000000}"/>
  <bookViews>
    <workbookView xWindow="-120" yWindow="-120" windowWidth="29040" windowHeight="15720" xr2:uid="{FE7B836D-25D3-4267-9C77-ECCA3869ACD6}"/>
  </bookViews>
  <sheets>
    <sheet name="composer" sheetId="1" r:id="rId1"/>
    <sheet name="Sheet1" sheetId="4" r:id="rId2"/>
    <sheet name="sp" sheetId="2" r:id="rId3"/>
    <sheet name="t2php" sheetId="3" r:id="rId4"/>
    <sheet name="Sheet2" sheetId="5" r:id="rId5"/>
  </sheets>
  <functionGroups builtInGroupCount="19"/>
  <definedNames>
    <definedName name="_xleta.CH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2" i="1" l="1"/>
  <c r="F32" i="1"/>
  <c r="C32" i="1"/>
  <c r="I32" i="1" s="1"/>
  <c r="G31" i="1"/>
  <c r="F31" i="1"/>
  <c r="G30" i="1"/>
  <c r="F30" i="1"/>
  <c r="G29" i="1"/>
  <c r="F29" i="1"/>
  <c r="G28" i="1"/>
  <c r="F28" i="1"/>
  <c r="G27" i="1"/>
  <c r="F27" i="1"/>
  <c r="G26" i="1"/>
  <c r="F26" i="1"/>
  <c r="C31" i="1"/>
  <c r="I31" i="1" s="1"/>
  <c r="C30" i="1"/>
  <c r="I30" i="1" s="1"/>
  <c r="C29" i="1"/>
  <c r="I29" i="1" s="1"/>
  <c r="C28" i="1"/>
  <c r="I28" i="1" s="1"/>
  <c r="C27" i="1"/>
  <c r="I27" i="1" s="1"/>
  <c r="C26" i="1"/>
  <c r="I26" i="1" s="1"/>
  <c r="G25" i="1"/>
  <c r="F25" i="1"/>
  <c r="C25" i="1"/>
  <c r="I25" i="1" s="1"/>
  <c r="C24" i="1"/>
  <c r="I24" i="1" s="1"/>
  <c r="F24" i="1"/>
  <c r="G24" i="1"/>
  <c r="G8" i="1"/>
  <c r="G9" i="1"/>
  <c r="G10" i="1"/>
  <c r="G11" i="1"/>
  <c r="G6" i="1"/>
  <c r="G12" i="1"/>
  <c r="G13" i="1"/>
  <c r="G14" i="1"/>
  <c r="G15" i="1"/>
  <c r="G16" i="1"/>
  <c r="G17" i="1"/>
  <c r="G18" i="1"/>
  <c r="G19" i="1"/>
  <c r="G20" i="1"/>
  <c r="G21" i="1"/>
  <c r="G22" i="1"/>
  <c r="G23" i="1"/>
  <c r="G7" i="1"/>
  <c r="F7" i="1"/>
  <c r="F8" i="1"/>
  <c r="F9" i="1"/>
  <c r="F10" i="1"/>
  <c r="F11" i="1"/>
  <c r="F6" i="1"/>
  <c r="F12" i="1"/>
  <c r="F13" i="1"/>
  <c r="F14" i="1"/>
  <c r="F15" i="1"/>
  <c r="F16" i="1"/>
  <c r="F17" i="1"/>
  <c r="F18" i="1"/>
  <c r="F19" i="1"/>
  <c r="F20" i="1"/>
  <c r="F21" i="1"/>
  <c r="F22" i="1"/>
  <c r="F23" i="1"/>
  <c r="F5" i="1"/>
  <c r="G5" i="1"/>
  <c r="C7" i="1"/>
  <c r="I7" i="1" s="1"/>
  <c r="C8" i="1"/>
  <c r="I8" i="1" s="1"/>
  <c r="C9" i="1"/>
  <c r="I9" i="1" s="1"/>
  <c r="C10" i="1"/>
  <c r="I10" i="1" s="1"/>
  <c r="C11" i="1"/>
  <c r="I11" i="1" s="1"/>
  <c r="C6" i="1"/>
  <c r="I6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I22" i="1" s="1"/>
  <c r="C23" i="1"/>
  <c r="I23" i="1" s="1"/>
  <c r="C5" i="1"/>
  <c r="I5" i="1" s="1"/>
</calcChain>
</file>

<file path=xl/sharedStrings.xml><?xml version="1.0" encoding="utf-8"?>
<sst xmlns="http://schemas.openxmlformats.org/spreadsheetml/2006/main" count="1226" uniqueCount="484">
  <si>
    <t>{</t>
  </si>
  <si>
    <t>        }</t>
  </si>
  <si>
    <t>}</t>
  </si>
  <si>
    <t>asas</t>
  </si>
  <si>
    <t>tutur</t>
  </si>
  <si>
    <t>bantu</t>
  </si>
  <si>
    <t>pihak</t>
  </si>
  <si>
    <t>orang</t>
  </si>
  <si>
    <t>jawat</t>
  </si>
  <si>
    <t>citra</t>
  </si>
  <si>
    <t>janji</t>
  </si>
  <si>
    <t>sifat</t>
  </si>
  <si>
    <t>waktu</t>
  </si>
  <si>
    <t>pelan</t>
  </si>
  <si>
    <t>siapa</t>
  </si>
  <si>
    <t>boleh</t>
  </si>
  <si>
    <t>versi</t>
  </si>
  <si>
    <t>jejak</t>
  </si>
  <si>
    <t>kerja</t>
  </si>
  <si>
    <t>jalan</t>
  </si>
  <si>
    <t>jalur</t>
  </si>
  <si>
    <t>laras</t>
  </si>
  <si>
    <t>sync</t>
  </si>
  <si>
    <t>menu</t>
  </si>
  <si>
    <t>base</t>
  </si>
  <si>
    <t>helpfile</t>
  </si>
  <si>
    <t>organization</t>
  </si>
  <si>
    <t>people</t>
  </si>
  <si>
    <t>position</t>
  </si>
  <si>
    <t>branding</t>
  </si>
  <si>
    <t>agreement</t>
  </si>
  <si>
    <t>attributing</t>
  </si>
  <si>
    <t>time</t>
  </si>
  <si>
    <t>floorplan</t>
  </si>
  <si>
    <t>who</t>
  </si>
  <si>
    <t>can</t>
  </si>
  <si>
    <t>versioning</t>
  </si>
  <si>
    <t>trail</t>
  </si>
  <si>
    <t>work</t>
  </si>
  <si>
    <t>flow</t>
  </si>
  <si>
    <t>name</t>
  </si>
  <si>
    <t>rimba</t>
  </si>
  <si>
    <t>description</t>
  </si>
  <si>
    <t>providers</t>
  </si>
  <si>
    <t>translate</t>
  </si>
  <si>
    <t>psr4</t>
  </si>
  <si>
    <t>Help file package for creating user guides and admin guides in Laravel Filament.</t>
  </si>
  <si>
    <t>Google Translate package for use in Laravel Filament.</t>
  </si>
  <si>
    <t>Base package for use by all Bites and Rimba packages.</t>
  </si>
  <si>
    <t>Represents a responsibility within the organization.</t>
  </si>
  <si>
    <t>Represents a person performing work for the organization.</t>
  </si>
  <si>
    <t>Represents any organization and sub structure.</t>
  </si>
  <si>
    <t>Manages identity and UI customization (logos, themes, branding).</t>
  </si>
  <si>
    <t>Lightweight representation of agreements (contracts, SLAs, MOUs) linking parties, assets, or services.</t>
  </si>
  <si>
    <t>Access control layer combining roles, permissions, and policies (RBAC + ABAC).</t>
  </si>
  <si>
    <t>Models physical spaces (buildings, rooms, zones) for location-aware operations.</t>
  </si>
  <si>
    <t>Handles time structures like holidays, shifts, rosters, and events.</t>
  </si>
  <si>
    <t>Workflow engine that defines process flows, transitions, and automation logic.</t>
  </si>
  <si>
    <t>Execution layer for tasks, checklists, and work packages.</t>
  </si>
  <si>
    <t>Defines requestable services and offerings with forms and fulfillment entry points.</t>
  </si>
  <si>
    <t>Manages a controlled revisions of records or content.</t>
  </si>
  <si>
    <t>System-wide activity log tracking actions, changes, and events for traceability and accountability.</t>
  </si>
  <si>
    <t>Provides a flexible mechanism for attaching dynamic attributes to domain models without requiring schema changes.</t>
  </si>
  <si>
    <t>Custom authentication of user and associate roles and attributes</t>
  </si>
  <si>
    <t>Integration layer for external systems (APIs, imports/exports).</t>
  </si>
  <si>
    <t>ldap</t>
  </si>
  <si>
    <t>idp</t>
  </si>
  <si>
    <t>dms</t>
  </si>
  <si>
    <t>lms</t>
  </si>
  <si>
    <t>tos</t>
  </si>
  <si>
    <t>hrm</t>
  </si>
  <si>
    <t>lcs</t>
  </si>
  <si>
    <t>eam</t>
  </si>
  <si>
    <t>Laravel Passport-based Identity Provider (IdP) package for local apps to use as SSO</t>
  </si>
  <si>
    <t>Extension to authentication of user thru AD/LDAP</t>
  </si>
  <si>
    <t>Document Management System complying to QMS</t>
  </si>
  <si>
    <t>Learning Management System</t>
  </si>
  <si>
    <t>Employee Management System</t>
  </si>
  <si>
    <t>Team Offering System</t>
  </si>
  <si>
    <t>Contract Management System, an extension to agreement package</t>
  </si>
  <si>
    <t>Enterprise Asset Management</t>
  </si>
  <si>
    <t>version</t>
  </si>
  <si>
    <t>^1.0</t>
  </si>
  <si>
    <t>php</t>
  </si>
  <si>
    <t>laravel/framework</t>
  </si>
  <si>
    <t>^13.0</t>
  </si>
  <si>
    <t>spatie/laravel-permission</t>
  </si>
  <si>
    <t>^7.3</t>
  </si>
  <si>
    <t>^8.3</t>
  </si>
  <si>
    <t>rimba/asas</t>
  </si>
  <si>
    <t>{
    "name": "%1",
    "description": "%2",
    "type": "library",
    "license": "MIT",
    "authors": [
        {
            "name": "BIT Ecosystem",
            "email": "bit.ecosystem@gmail.com"
        }
    ],
    "require": {
%5
    },
    "extra": {
        "laravel": {
            "providers": [
                %3
            ]
        }
    },
    "autoload": {
        "psr-4": {
           %4
        }
    },
    "minimum-stability": "alpha",
    "prefer-stable": true
}</t>
  </si>
  <si>
    <t>{
    "name": "rimba/asas",
    "description": "Base package for use by all Bites and Rimba packages.",
    "type": "library",
    "license": "MIT",
    "authors": [
        {
            "name": "BIT Ecosystem",
            "email": "bit.ecosystem@gmail.com"
        }
    ],
    "require": {
        "php": "^8.3",
        "laravel/framework": "^13.0"
    },
    "extra": {
        "laravel": {
            "providers": [
                "Rimba\\Base\\BaseServiceProvider"
            ]
        }
    },
    "autoload": {
        "psr-4": {
           "Rimba\\Base\\": "src/"
        }
    },
    "minimum-stability": "alpha",
    "prefer-stable": true
}</t>
  </si>
  <si>
    <t>{
    "name": "rimba/citra",
    "description": "Manages identity and UI customization (logos, themes, branding).",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"Rimba\\Branding\\BrandingServiceProvider"
            ]
        }
    },
    "autoload": {
        "psr-4": {
           "Rimba\\Branding\\": "src/"
        }
    },
    "minimum-stability": "alpha",
    "prefer-stable": true
}</t>
  </si>
  <si>
    <t>{
    "name": "rimba/tutur",
    "description": "Google Translate package for use in Laravel Filament.",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"Rimba\\Translate\\TranslateServiceProvider"
            ]
        }
    },
    "autoload": {
        "psr-4": {
           "Rimba\\Translate\\": "src/"
        }
    },
    "minimum-stability": "alpha",
    "prefer-stable": true
}</t>
  </si>
  <si>
    <t>{
    "name": "rimba/bantu",
    "description": "Help file package for creating user guides and admin guides in Laravel Filament.",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"Rimba\\Helpfile\\HelpfileServiceProvider"
            ]
        }
    },
    "autoload": {
        "psr-4": {
           "Rimba\\Helpfile\\": "src/"
        }
    },
    "minimum-stability": "alpha",
    "prefer-stable": true
}</t>
  </si>
  <si>
    <t>{
    "name": "rimba/pihak",
    "description": "Represents any organization and sub structure.",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"Rimba\\Organization\\OrganizationServiceProvider"
            ]
        }
    },
    "autoload": {
        "psr-4": {
           "Rimba\\Organization\\": "src/"
        }
    },
    "minimum-stability": "alpha",
    "prefer-stable": true
}</t>
  </si>
  <si>
    <t>{
    "name": "rimba/orang",
    "description": "Represents a person performing work for the organization.",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"Rimba\\People\\PeopleServiceProvider"
            ]
        }
    },
    "autoload": {
        "psr-4": {
           "Rimba\\People\\": "src/"
        }
    },
    "minimum-stability": "alpha",
    "prefer-stable": true
}</t>
  </si>
  <si>
    <t>{
    "name": "rimba/jawat",
    "description": "Represents a responsibility within the organization.",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"Rimba\\Position\\PositionServiceProvider"
            ]
        }
    },
    "autoload": {
        "psr-4": {
           "Rimba\\Position\\": "src/"
        }
    },
    "minimum-stability": "alpha",
    "prefer-stable": true
}</t>
  </si>
  <si>
    <t>{
    "name": "rimba/sifat",
    "description": "Provides a flexible mechanism for attaching dynamic attributes to domain models without requiring schema changes.",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"Rimba\\Attributing\\AttributingServiceProvider"
            ]
        }
    },
    "autoload": {
        "psr-4": {
           "Rimba\\Attributing\\": "src/"
        }
    },
    "minimum-stability": "alpha",
    "prefer-stable": true
}</t>
  </si>
  <si>
    <t>{
    "name": "rimba/siapa",
    "description": "Custom authentication of user and associate roles and attributes",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"Rimba\\Who\\WhoServiceProvider"
            ]
        }
    },
    "autoload": {
        "psr-4": {
           "Rimba\\Who\\": "src/"
        }
    },
    "minimum-stability": "alpha",
    "prefer-stable": true
}</t>
  </si>
  <si>
    <t>{
    "name": "rimba/versi",
    "description": "Manages a controlled revisions of records or content.",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"Rimba\\Versioning\\VersioningServiceProvider"
            ]
        }
    },
    "autoload": {
        "psr-4": {
           "Rimba\\Versioning\\": "src/"
        }
    },
    "minimum-stability": "alpha",
    "prefer-stable": true
}</t>
  </si>
  <si>
    <t>{
    "name": "rimba/laras",
    "description": "Integration layer for external systems (APIs, imports/exports).",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"Rimba\\Sync\\SyncServiceProvider"
            ]
        }
    },
    "autoload": {
        "psr-4": {
           "Rimba\\Sync\\": "src/"
        }
    },
    "minimum-stability": "alpha",
    "prefer-stable": true
}</t>
  </si>
  <si>
    <t>{
    "name": "rimba/ldap",
    "description": "Extension to authentication of user thru AD/LDAP",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"Rimba\\Ldap\\LdapServiceProvider"
            ]
        }
    },
    "autoload": {
        "psr-4": {
           "Rimba\\Ldap\\": "src/"
        }
    },
    "minimum-stability": "alpha",
    "prefer-stable": true
}</t>
  </si>
  <si>
    <t>{
    "name": "rimba/idp",
    "description": "Laravel Passport-based Identity Provider (IdP) package for local apps to use as SSO",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"Rimba\\Idp\\IdpServiceProvider"
            ]
        }
    },
    "autoload": {
        "psr-4": {
           "Rimba\\Idp\\": "src/"
        }
    },
    "minimum-stability": "alpha",
    "prefer-stable": true
}</t>
  </si>
  <si>
    <t>{
    "name": "rimba/dms",
    "description": "Document Management System complying to QMS",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"Rimba\\Dms\\DmsServiceProvider"
            ]
        }
    },
    "autoload": {
        "psr-4": {
           "Rimba\\Dms\\": "src/"
        }
    },
    "minimum-stability": "alpha",
    "prefer-stable": true
}</t>
  </si>
  <si>
    <t>{
    "name": "rimba/lms",
    "description": "Learning Management System",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"Rimba\\Lms\\LmsServiceProvider"
            ]
        }
    },
    "autoload": {
        "psr-4": {
           "Rimba\\Lms\\": "src/"
        }
    },
    "minimum-stability": "alpha",
    "prefer-stable": true
}</t>
  </si>
  <si>
    <t>{
    "name": "rimba/hrm",
    "description": "Employee Management System",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"Rimba\\Hrm\\HrmServiceProvider"
            ]
        }
    },
    "autoload": {
        "psr-4": {
           "Rimba\\Hrm\\": "src/"
        }
    },
    "minimum-stability": "alpha",
    "prefer-stable": true
}</t>
  </si>
  <si>
    <t>{
    "name": "rimba/tos",
    "description": "Team Offering System",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"Rimba\\Tos\\TosServiceProvider"
            ]
        }
    },
    "autoload": {
        "psr-4": {
           "Rimba\\Tos\\": "src/"
        }
    },
    "minimum-stability": "alpha",
    "prefer-stable": true
}</t>
  </si>
  <si>
    <t>{
    "name": "rimba/lcs",
    "description": "Contract Management System, an extension to agreement package",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"Rimba\\Lcs\\LcsServiceProvider"
            ]
        }
    },
    "autoload": {
        "psr-4": {
           "Rimba\\Lcs\\": "src/"
        }
    },
    "minimum-stability": "alpha",
    "prefer-stable": true
}</t>
  </si>
  <si>
    <t>{
    "name": "rimba/eam",
    "description": "Enterprise Asset Management",
    "type": "library",
    "license": "MIT",
    "authors": [
        {
            "name": "BIT Ecosystem",
            "email": "bit.ecosystem@gmail.com"
        }
    ],
    "require": {
        "php": "^8.3",
        "rimba/asas": "^1.0"
    },
    "extra": {
        "laravel": {
            "providers": [
                "Rimba\\Eam\\EamServiceProvider"
            ]
        }
    },
    "autoload": {
        "psr-4": {
           "Rimba\\Eam\\": "src/"
        }
    },
    "minimum-stability": "alpha",
    "prefer-stable": true
}</t>
  </si>
  <si>
    <t>&lt;?php</t>
  </si>
  <si>
    <t>    {</t>
  </si>
  <si>
    <t>    }</t>
  </si>
  <si>
    <t>has config?</t>
  </si>
  <si>
    <t>has views?</t>
  </si>
  <si>
    <t>has icons?</t>
  </si>
  <si>
    <t>Base</t>
  </si>
  <si>
    <t>Branding</t>
  </si>
  <si>
    <t>Translate</t>
  </si>
  <si>
    <t>Helpfile</t>
  </si>
  <si>
    <t>Organization</t>
  </si>
  <si>
    <t>People</t>
  </si>
  <si>
    <t>Position</t>
  </si>
  <si>
    <t>Agreement</t>
  </si>
  <si>
    <t>Attributing</t>
  </si>
  <si>
    <t>Time</t>
  </si>
  <si>
    <t>Floorplan</t>
  </si>
  <si>
    <t>Who</t>
  </si>
  <si>
    <t>Can</t>
  </si>
  <si>
    <t>Versioning</t>
  </si>
  <si>
    <t>Trail</t>
  </si>
  <si>
    <t>Work</t>
  </si>
  <si>
    <t>Flow</t>
  </si>
  <si>
    <t>Menu</t>
  </si>
  <si>
    <t>Sync</t>
  </si>
  <si>
    <t>Ldap</t>
  </si>
  <si>
    <t>Idp</t>
  </si>
  <si>
    <t>Dms</t>
  </si>
  <si>
    <t>Lms</t>
  </si>
  <si>
    <t>Hrm</t>
  </si>
  <si>
    <t>Tos</t>
  </si>
  <si>
    <t>Lcs</t>
  </si>
  <si>
    <t>Eam</t>
  </si>
  <si>
    <t>has migrations?</t>
  </si>
  <si>
    <t>use</t>
  </si>
  <si>
    <t>register</t>
  </si>
  <si>
    <t>boot</t>
  </si>
  <si>
    <r>
      <t>FilamentView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registerRenderHook</t>
    </r>
    <r>
      <rPr>
        <sz val="11"/>
        <color rgb="FFD4D4D4"/>
        <rFont val="Consolas"/>
        <family val="3"/>
      </rPr>
      <t>(</t>
    </r>
  </si>
  <si>
    <r>
      <t xml:space="preserve">    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::</t>
    </r>
    <r>
      <rPr>
        <sz val="11"/>
        <color rgb="FF79C0FF"/>
        <rFont val="Consolas"/>
        <family val="3"/>
      </rPr>
      <t>GLOBAL_SEARCH_BEFORE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</si>
  <si>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FF7B72"/>
        <rFont val="Consolas"/>
        <family val="3"/>
      </rPr>
      <t>fn</t>
    </r>
    <r>
      <rPr>
        <sz val="11"/>
        <color rgb="FFD4D4D4"/>
        <rFont val="Consolas"/>
        <family val="3"/>
      </rPr>
      <t xml:space="preserve"> ():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=&gt; </t>
    </r>
    <r>
      <rPr>
        <sz val="11"/>
        <color rgb="FF4EC9B0"/>
        <rFont val="Consolas"/>
        <family val="3"/>
      </rPr>
      <t>Action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make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'FloorPlan'</t>
    </r>
    <r>
      <rPr>
        <sz val="11"/>
        <color rgb="FFD4D4D4"/>
        <rFont val="Consolas"/>
        <family val="3"/>
      </rPr>
      <t>)</t>
    </r>
  </si>
  <si>
    <r>
      <t>        -&gt;</t>
    </r>
    <r>
      <rPr>
        <sz val="11"/>
        <color rgb="FFD2A8FF"/>
        <rFont val="Consolas"/>
        <family val="3"/>
      </rPr>
      <t>label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'Floor Plan'</t>
    </r>
    <r>
      <rPr>
        <sz val="11"/>
        <color rgb="FFD4D4D4"/>
        <rFont val="Consolas"/>
        <family val="3"/>
      </rPr>
      <t>)</t>
    </r>
  </si>
  <si>
    <r>
      <t>        -&gt;</t>
    </r>
    <r>
      <rPr>
        <sz val="11"/>
        <color rgb="FFD2A8FF"/>
        <rFont val="Consolas"/>
        <family val="3"/>
      </rPr>
      <t>iconButton</t>
    </r>
    <r>
      <rPr>
        <sz val="11"/>
        <color rgb="FFD4D4D4"/>
        <rFont val="Consolas"/>
        <family val="3"/>
      </rPr>
      <t>()</t>
    </r>
  </si>
  <si>
    <r>
      <t>        -&gt;</t>
    </r>
    <r>
      <rPr>
        <sz val="11"/>
        <color rgb="FFD2A8FF"/>
        <rFont val="Consolas"/>
        <family val="3"/>
      </rPr>
      <t>badge</t>
    </r>
    <r>
      <rPr>
        <sz val="11"/>
        <color rgb="FFD4D4D4"/>
        <rFont val="Consolas"/>
        <family val="3"/>
      </rPr>
      <t>()</t>
    </r>
  </si>
  <si>
    <r>
      <t>        -&gt;</t>
    </r>
    <r>
      <rPr>
        <sz val="11"/>
        <color rgb="FFD2A8FF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'bites-location'</t>
    </r>
    <r>
      <rPr>
        <sz val="11"/>
        <color rgb="FFD4D4D4"/>
        <rFont val="Consolas"/>
        <family val="3"/>
      </rPr>
      <t>)</t>
    </r>
  </si>
  <si>
    <r>
      <t>        -&gt;</t>
    </r>
    <r>
      <rPr>
        <sz val="11"/>
        <color rgb="FFD2A8FF"/>
        <rFont val="Consolas"/>
        <family val="3"/>
      </rPr>
      <t>url</t>
    </r>
    <r>
      <rPr>
        <sz val="11"/>
        <color rgb="FFD4D4D4"/>
        <rFont val="Consolas"/>
        <family val="3"/>
      </rPr>
      <t>(</t>
    </r>
    <r>
      <rPr>
        <sz val="11"/>
        <color rgb="FFD2A8FF"/>
        <rFont val="Consolas"/>
        <family val="3"/>
      </rPr>
      <t>route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'filament.staff.pages.floor-plan'</t>
    </r>
    <r>
      <rPr>
        <sz val="11"/>
        <color rgb="FFD4D4D4"/>
        <rFont val="Consolas"/>
        <family val="3"/>
      </rPr>
      <t>))</t>
    </r>
  </si>
  <si>
    <r>
      <t>        -&gt;</t>
    </r>
    <r>
      <rPr>
        <sz val="11"/>
        <color rgb="FFD2A8FF"/>
        <rFont val="Consolas"/>
        <family val="3"/>
      </rPr>
      <t>toHtml</t>
    </r>
    <r>
      <rPr>
        <sz val="11"/>
        <color rgb="FFD4D4D4"/>
        <rFont val="Consolas"/>
        <family val="3"/>
      </rPr>
      <t>(),</t>
    </r>
  </si>
  <si>
    <t>);</t>
  </si>
  <si>
    <r>
      <t>$languages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Language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googleTranslateLanguages</t>
    </r>
    <r>
      <rPr>
        <sz val="11"/>
        <color rgb="FFD4D4D4"/>
        <rFont val="Consolas"/>
        <family val="3"/>
      </rPr>
      <t>();</t>
    </r>
  </si>
  <si>
    <r>
      <t xml:space="preserve">    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::</t>
    </r>
    <r>
      <rPr>
        <sz val="11"/>
        <color rgb="FF79C0FF"/>
        <rFont val="Consolas"/>
        <family val="3"/>
      </rPr>
      <t>USER_MENU_AFTER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</si>
  <si>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FF7B72"/>
        <rFont val="Consolas"/>
        <family val="3"/>
      </rPr>
      <t>fn</t>
    </r>
    <r>
      <rPr>
        <sz val="11"/>
        <color rgb="FFD4D4D4"/>
        <rFont val="Consolas"/>
        <family val="3"/>
      </rPr>
      <t xml:space="preserve">() =&gt; </t>
    </r>
    <r>
      <rPr>
        <sz val="11"/>
        <color rgb="FFD2A8FF"/>
        <rFont val="Consolas"/>
        <family val="3"/>
      </rPr>
      <t>view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'bites::language-switch'</t>
    </r>
    <r>
      <rPr>
        <sz val="11"/>
        <color rgb="FFD4D4D4"/>
        <rFont val="Consolas"/>
        <family val="3"/>
      </rPr>
      <t>)</t>
    </r>
  </si>
  <si>
    <r>
      <t xml:space="preserve">    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::</t>
    </r>
    <r>
      <rPr>
        <sz val="11"/>
        <color rgb="FF79C0FF"/>
        <rFont val="Consolas"/>
        <family val="3"/>
      </rPr>
      <t>SIMPLE_PAGE_END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</si>
  <si>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::</t>
    </r>
    <r>
      <rPr>
        <sz val="11"/>
        <color rgb="FF79C0FF"/>
        <rFont val="Consolas"/>
        <family val="3"/>
      </rPr>
      <t>FOOTER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</si>
  <si>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FF7B72"/>
        <rFont val="Consolas"/>
        <family val="3"/>
      </rPr>
      <t>fn</t>
    </r>
    <r>
      <rPr>
        <sz val="11"/>
        <color rgb="FFD4D4D4"/>
        <rFont val="Consolas"/>
        <family val="3"/>
      </rPr>
      <t xml:space="preserve">():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=&gt; </t>
    </r>
    <r>
      <rPr>
        <sz val="11"/>
        <color rgb="FF569CD6"/>
        <rFont val="Consolas"/>
        <family val="3"/>
      </rPr>
      <t>&lt;&lt;&lt;</t>
    </r>
    <r>
      <rPr>
        <sz val="11"/>
        <color rgb="FFD4D4D4"/>
        <rFont val="Consolas"/>
        <family val="3"/>
      </rPr>
      <t>HTML</t>
    </r>
  </si>
  <si>
    <r>
      <t xml:space="preserve">    </t>
    </r>
    <r>
      <rPr>
        <sz val="11"/>
        <color rgb="FF808080"/>
        <rFont val="Consolas"/>
        <family val="3"/>
      </rPr>
      <t>&lt;</t>
    </r>
    <r>
      <rPr>
        <sz val="11"/>
        <color rgb="FF7EE787"/>
        <rFont val="Consolas"/>
        <family val="3"/>
      </rPr>
      <t>script</t>
    </r>
    <r>
      <rPr>
        <sz val="11"/>
        <color rgb="FF808080"/>
        <rFont val="Consolas"/>
        <family val="3"/>
      </rPr>
      <t>&gt;</t>
    </r>
  </si>
  <si>
    <r>
      <t xml:space="preserve">        </t>
    </r>
    <r>
      <rPr>
        <sz val="11"/>
        <color rgb="FFC9D1D9"/>
        <rFont val="Consolas"/>
        <family val="3"/>
      </rPr>
      <t>window</t>
    </r>
    <r>
      <rPr>
        <sz val="11"/>
        <color rgb="FFD4D4D4"/>
        <rFont val="Consolas"/>
        <family val="3"/>
      </rPr>
      <t>.</t>
    </r>
    <r>
      <rPr>
        <sz val="11"/>
        <color rgb="FFD2A8FF"/>
        <rFont val="Consolas"/>
        <family val="3"/>
      </rPr>
      <t>googleTranslateElementInit</t>
    </r>
    <r>
      <rPr>
        <sz val="11"/>
        <color rgb="FFD4D4D4"/>
        <rFont val="Consolas"/>
        <family val="3"/>
      </rPr>
      <t xml:space="preserve"> = </t>
    </r>
    <r>
      <rPr>
        <sz val="11"/>
        <color rgb="FFFF7B72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() </t>
    </r>
    <r>
      <rPr>
        <sz val="11"/>
        <color rgb="FFC9D1D9"/>
        <rFont val="Consolas"/>
        <family val="3"/>
      </rPr>
      <t>{</t>
    </r>
  </si>
  <si>
    <r>
      <t xml:space="preserve">            </t>
    </r>
    <r>
      <rPr>
        <sz val="11"/>
        <color rgb="FF569CD6"/>
        <rFont val="Consolas"/>
        <family val="3"/>
      </rPr>
      <t>new</t>
    </r>
    <r>
      <rPr>
        <sz val="11"/>
        <color rgb="FFC9D1D9"/>
        <rFont val="Consolas"/>
        <family val="3"/>
      </rPr>
      <t xml:space="preserve"> google.translate.</t>
    </r>
    <r>
      <rPr>
        <sz val="11"/>
        <color rgb="FFD2A8FF"/>
        <rFont val="Consolas"/>
        <family val="3"/>
      </rPr>
      <t>TranslateElement</t>
    </r>
    <r>
      <rPr>
        <sz val="11"/>
        <color rgb="FFC9D1D9"/>
        <rFont val="Consolas"/>
        <family val="3"/>
      </rPr>
      <t>({</t>
    </r>
  </si>
  <si>
    <r>
      <t xml:space="preserve">                </t>
    </r>
    <r>
      <rPr>
        <sz val="11"/>
        <color rgb="FF9CDCFE"/>
        <rFont val="Consolas"/>
        <family val="3"/>
      </rPr>
      <t>pageLanguage:</t>
    </r>
    <r>
      <rPr>
        <sz val="11"/>
        <color rgb="FFC9D1D9"/>
        <rFont val="Consolas"/>
        <family val="3"/>
      </rPr>
      <t xml:space="preserve"> </t>
    </r>
    <r>
      <rPr>
        <sz val="11"/>
        <color rgb="FFA5D6FF"/>
        <rFont val="Consolas"/>
        <family val="3"/>
      </rPr>
      <t>'en'</t>
    </r>
    <r>
      <rPr>
        <sz val="11"/>
        <color rgb="FFC9D1D9"/>
        <rFont val="Consolas"/>
        <family val="3"/>
      </rPr>
      <t>,</t>
    </r>
  </si>
  <si>
    <r>
      <t xml:space="preserve">                </t>
    </r>
    <r>
      <rPr>
        <sz val="11"/>
        <color rgb="FF9CDCFE"/>
        <rFont val="Consolas"/>
        <family val="3"/>
      </rPr>
      <t>layout:</t>
    </r>
    <r>
      <rPr>
        <sz val="11"/>
        <color rgb="FFC9D1D9"/>
        <rFont val="Consolas"/>
        <family val="3"/>
      </rPr>
      <t xml:space="preserve"> google.translate.TranslateElement.InlineLayout.</t>
    </r>
    <r>
      <rPr>
        <sz val="11"/>
        <color rgb="FF79C0FF"/>
        <rFont val="Consolas"/>
        <family val="3"/>
      </rPr>
      <t>VERTICAL</t>
    </r>
    <r>
      <rPr>
        <sz val="11"/>
        <color rgb="FFC9D1D9"/>
        <rFont val="Consolas"/>
        <family val="3"/>
      </rPr>
      <t>,</t>
    </r>
  </si>
  <si>
    <r>
      <t xml:space="preserve">                </t>
    </r>
    <r>
      <rPr>
        <sz val="11"/>
        <color rgb="FF9CDCFE"/>
        <rFont val="Consolas"/>
        <family val="3"/>
      </rPr>
      <t>autoDisplay:</t>
    </r>
    <r>
      <rPr>
        <sz val="11"/>
        <color rgb="FFC9D1D9"/>
        <rFont val="Consolas"/>
        <family val="3"/>
      </rPr>
      <t xml:space="preserve"> </t>
    </r>
    <r>
      <rPr>
        <sz val="11"/>
        <color rgb="FF569CD6"/>
        <rFont val="Consolas"/>
        <family val="3"/>
      </rPr>
      <t>false</t>
    </r>
    <r>
      <rPr>
        <sz val="11"/>
        <color rgb="FFC9D1D9"/>
        <rFont val="Consolas"/>
        <family val="3"/>
      </rPr>
      <t>,</t>
    </r>
  </si>
  <si>
    <r>
      <t xml:space="preserve">                </t>
    </r>
    <r>
      <rPr>
        <sz val="11"/>
        <color rgb="FF9CDCFE"/>
        <rFont val="Consolas"/>
        <family val="3"/>
      </rPr>
      <t>includedLanguages:</t>
    </r>
    <r>
      <rPr>
        <sz val="11"/>
        <color rgb="FFC9D1D9"/>
        <rFont val="Consolas"/>
        <family val="3"/>
      </rPr>
      <t xml:space="preserve"> </t>
    </r>
    <r>
      <rPr>
        <sz val="11"/>
        <color rgb="FFA5D6FF"/>
        <rFont val="Consolas"/>
        <family val="3"/>
      </rPr>
      <t>'{$languages}'</t>
    </r>
  </si>
  <si>
    <r>
      <t xml:space="preserve">            }, </t>
    </r>
    <r>
      <rPr>
        <sz val="11"/>
        <color rgb="FFA5D6FF"/>
        <rFont val="Consolas"/>
        <family val="3"/>
      </rPr>
      <t>'google_translate_element'</t>
    </r>
    <r>
      <rPr>
        <sz val="11"/>
        <color rgb="FFC9D1D9"/>
        <rFont val="Consolas"/>
        <family val="3"/>
      </rPr>
      <t>);</t>
    </r>
  </si>
  <si>
    <r>
      <t>        }</t>
    </r>
    <r>
      <rPr>
        <sz val="11"/>
        <color rgb="FFD4D4D4"/>
        <rFont val="Consolas"/>
        <family val="3"/>
      </rPr>
      <t>;</t>
    </r>
  </si>
  <si>
    <r>
      <t xml:space="preserve">        </t>
    </r>
    <r>
      <rPr>
        <sz val="11"/>
        <color rgb="FFC9D1D9"/>
        <rFont val="Consolas"/>
        <family val="3"/>
      </rPr>
      <t>window</t>
    </r>
    <r>
      <rPr>
        <sz val="11"/>
        <color rgb="FFD4D4D4"/>
        <rFont val="Consolas"/>
        <family val="3"/>
      </rPr>
      <t>.</t>
    </r>
    <r>
      <rPr>
        <sz val="11"/>
        <color rgb="FFD2A8FF"/>
        <rFont val="Consolas"/>
        <family val="3"/>
      </rPr>
      <t>triggerGoogleTranslate</t>
    </r>
    <r>
      <rPr>
        <sz val="11"/>
        <color rgb="FFD4D4D4"/>
        <rFont val="Consolas"/>
        <family val="3"/>
      </rPr>
      <t xml:space="preserve"> = </t>
    </r>
    <r>
      <rPr>
        <sz val="11"/>
        <color rgb="FFFF7B72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(</t>
    </r>
    <r>
      <rPr>
        <sz val="11"/>
        <color rgb="FF79C0FF"/>
        <rFont val="Consolas"/>
        <family val="3"/>
      </rPr>
      <t>langCode</t>
    </r>
    <r>
      <rPr>
        <sz val="11"/>
        <color rgb="FFD4D4D4"/>
        <rFont val="Consolas"/>
        <family val="3"/>
      </rPr>
      <t xml:space="preserve">) </t>
    </r>
    <r>
      <rPr>
        <sz val="11"/>
        <color rgb="FFC9D1D9"/>
        <rFont val="Consolas"/>
        <family val="3"/>
      </rPr>
      <t>{</t>
    </r>
  </si>
  <si>
    <r>
      <t xml:space="preserve">            </t>
    </r>
    <r>
      <rPr>
        <sz val="11"/>
        <color rgb="FFFF7B72"/>
        <rFont val="Consolas"/>
        <family val="3"/>
      </rPr>
      <t>const</t>
    </r>
    <r>
      <rPr>
        <sz val="11"/>
        <color rgb="FFC9D1D9"/>
        <rFont val="Consolas"/>
        <family val="3"/>
      </rPr>
      <t xml:space="preserve"> </t>
    </r>
    <r>
      <rPr>
        <sz val="11"/>
        <color rgb="FF79C0FF"/>
        <rFont val="Consolas"/>
        <family val="3"/>
      </rPr>
      <t>select</t>
    </r>
    <r>
      <rPr>
        <sz val="11"/>
        <color rgb="FFC9D1D9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C9D1D9"/>
        <rFont val="Consolas"/>
        <family val="3"/>
      </rPr>
      <t xml:space="preserve"> document.</t>
    </r>
    <r>
      <rPr>
        <sz val="11"/>
        <color rgb="FFD2A8FF"/>
        <rFont val="Consolas"/>
        <family val="3"/>
      </rPr>
      <t>querySelector</t>
    </r>
    <r>
      <rPr>
        <sz val="11"/>
        <color rgb="FFC9D1D9"/>
        <rFont val="Consolas"/>
        <family val="3"/>
      </rPr>
      <t>(</t>
    </r>
    <r>
      <rPr>
        <sz val="11"/>
        <color rgb="FFA5D6FF"/>
        <rFont val="Consolas"/>
        <family val="3"/>
      </rPr>
      <t>'.goog-te-combo'</t>
    </r>
    <r>
      <rPr>
        <sz val="11"/>
        <color rgb="FFC9D1D9"/>
        <rFont val="Consolas"/>
        <family val="3"/>
      </rPr>
      <t>);</t>
    </r>
  </si>
  <si>
    <r>
      <t xml:space="preserve">            </t>
    </r>
    <r>
      <rPr>
        <sz val="11"/>
        <color rgb="FFC586C0"/>
        <rFont val="Consolas"/>
        <family val="3"/>
      </rPr>
      <t>if</t>
    </r>
    <r>
      <rPr>
        <sz val="11"/>
        <color rgb="FFC9D1D9"/>
        <rFont val="Consolas"/>
        <family val="3"/>
      </rPr>
      <t xml:space="preserve"> (</t>
    </r>
    <r>
      <rPr>
        <sz val="11"/>
        <color rgb="FFD4D4D4"/>
        <rFont val="Consolas"/>
        <family val="3"/>
      </rPr>
      <t>!</t>
    </r>
    <r>
      <rPr>
        <sz val="11"/>
        <color rgb="FFC9D1D9"/>
        <rFont val="Consolas"/>
        <family val="3"/>
      </rPr>
      <t xml:space="preserve"> select) {</t>
    </r>
  </si>
  <si>
    <r>
      <t>                console.</t>
    </r>
    <r>
      <rPr>
        <sz val="11"/>
        <color rgb="FFD2A8FF"/>
        <rFont val="Consolas"/>
        <family val="3"/>
      </rPr>
      <t>log</t>
    </r>
    <r>
      <rPr>
        <sz val="11"/>
        <color rgb="FFC9D1D9"/>
        <rFont val="Consolas"/>
        <family val="3"/>
      </rPr>
      <t>(</t>
    </r>
    <r>
      <rPr>
        <sz val="11"/>
        <color rgb="FFA5D6FF"/>
        <rFont val="Consolas"/>
        <family val="3"/>
      </rPr>
      <t>'Google Translate select not found'</t>
    </r>
    <r>
      <rPr>
        <sz val="11"/>
        <color rgb="FFC9D1D9"/>
        <rFont val="Consolas"/>
        <family val="3"/>
      </rPr>
      <t>);</t>
    </r>
  </si>
  <si>
    <r>
      <t xml:space="preserve">                </t>
    </r>
    <r>
      <rPr>
        <sz val="11"/>
        <color rgb="FFC586C0"/>
        <rFont val="Consolas"/>
        <family val="3"/>
      </rPr>
      <t>return</t>
    </r>
    <r>
      <rPr>
        <sz val="11"/>
        <color rgb="FFC9D1D9"/>
        <rFont val="Consolas"/>
        <family val="3"/>
      </rPr>
      <t>;</t>
    </r>
  </si>
  <si>
    <t>            }</t>
  </si>
  <si>
    <r>
      <t xml:space="preserve">            select.value </t>
    </r>
    <r>
      <rPr>
        <sz val="11"/>
        <color rgb="FFD4D4D4"/>
        <rFont val="Consolas"/>
        <family val="3"/>
      </rPr>
      <t>=</t>
    </r>
    <r>
      <rPr>
        <sz val="11"/>
        <color rgb="FFC9D1D9"/>
        <rFont val="Consolas"/>
        <family val="3"/>
      </rPr>
      <t xml:space="preserve"> langCode;</t>
    </r>
  </si>
  <si>
    <r>
      <t>            select.</t>
    </r>
    <r>
      <rPr>
        <sz val="11"/>
        <color rgb="FFD2A8FF"/>
        <rFont val="Consolas"/>
        <family val="3"/>
      </rPr>
      <t>dispatchEvent</t>
    </r>
    <r>
      <rPr>
        <sz val="11"/>
        <color rgb="FFC9D1D9"/>
        <rFont val="Consolas"/>
        <family val="3"/>
      </rPr>
      <t>(</t>
    </r>
    <r>
      <rPr>
        <sz val="11"/>
        <color rgb="FF569CD6"/>
        <rFont val="Consolas"/>
        <family val="3"/>
      </rPr>
      <t>new</t>
    </r>
    <r>
      <rPr>
        <sz val="11"/>
        <color rgb="FFC9D1D9"/>
        <rFont val="Consolas"/>
        <family val="3"/>
      </rPr>
      <t xml:space="preserve"> </t>
    </r>
    <r>
      <rPr>
        <sz val="11"/>
        <color rgb="FFD2A8FF"/>
        <rFont val="Consolas"/>
        <family val="3"/>
      </rPr>
      <t>Event</t>
    </r>
    <r>
      <rPr>
        <sz val="11"/>
        <color rgb="FFC9D1D9"/>
        <rFont val="Consolas"/>
        <family val="3"/>
      </rPr>
      <t>(</t>
    </r>
    <r>
      <rPr>
        <sz val="11"/>
        <color rgb="FFA5D6FF"/>
        <rFont val="Consolas"/>
        <family val="3"/>
      </rPr>
      <t>'change'</t>
    </r>
    <r>
      <rPr>
        <sz val="11"/>
        <color rgb="FFC9D1D9"/>
        <rFont val="Consolas"/>
        <family val="3"/>
      </rPr>
      <t xml:space="preserve">, { </t>
    </r>
    <r>
      <rPr>
        <sz val="11"/>
        <color rgb="FF9CDCFE"/>
        <rFont val="Consolas"/>
        <family val="3"/>
      </rPr>
      <t>bubbles:</t>
    </r>
    <r>
      <rPr>
        <sz val="11"/>
        <color rgb="FFC9D1D9"/>
        <rFont val="Consolas"/>
        <family val="3"/>
      </rPr>
      <t xml:space="preserve"> </t>
    </r>
    <r>
      <rPr>
        <sz val="11"/>
        <color rgb="FF569CD6"/>
        <rFont val="Consolas"/>
        <family val="3"/>
      </rPr>
      <t>true</t>
    </r>
    <r>
      <rPr>
        <sz val="11"/>
        <color rgb="FFC9D1D9"/>
        <rFont val="Consolas"/>
        <family val="3"/>
      </rPr>
      <t xml:space="preserve"> }));</t>
    </r>
  </si>
  <si>
    <r>
      <t xml:space="preserve">    </t>
    </r>
    <r>
      <rPr>
        <sz val="11"/>
        <color rgb="FF808080"/>
        <rFont val="Consolas"/>
        <family val="3"/>
      </rPr>
      <t>&lt;/</t>
    </r>
    <r>
      <rPr>
        <sz val="11"/>
        <color rgb="FF7EE787"/>
        <rFont val="Consolas"/>
        <family val="3"/>
      </rPr>
      <t>script</t>
    </r>
    <r>
      <rPr>
        <sz val="11"/>
        <color rgb="FF808080"/>
        <rFont val="Consolas"/>
        <family val="3"/>
      </rPr>
      <t>&gt;</t>
    </r>
  </si>
  <si>
    <r>
      <t xml:space="preserve">    </t>
    </r>
    <r>
      <rPr>
        <sz val="11"/>
        <color rgb="FF808080"/>
        <rFont val="Consolas"/>
        <family val="3"/>
      </rPr>
      <t>&lt;</t>
    </r>
    <r>
      <rPr>
        <sz val="11"/>
        <color rgb="FF7EE787"/>
        <rFont val="Consolas"/>
        <family val="3"/>
      </rPr>
      <t>script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src</t>
    </r>
    <r>
      <rPr>
        <sz val="11"/>
        <color rgb="FFD4D4D4"/>
        <rFont val="Consolas"/>
        <family val="3"/>
      </rPr>
      <t>=</t>
    </r>
    <r>
      <rPr>
        <sz val="11"/>
        <color rgb="FFA5D6FF"/>
        <rFont val="Consolas"/>
        <family val="3"/>
      </rPr>
      <t>"https://translate.google.com/translate_a/element.js?cb=googleTranslateElementInit"</t>
    </r>
    <r>
      <rPr>
        <sz val="11"/>
        <color rgb="FF808080"/>
        <rFont val="Consolas"/>
        <family val="3"/>
      </rPr>
      <t>&gt;&lt;/</t>
    </r>
    <r>
      <rPr>
        <sz val="11"/>
        <color rgb="FF7EE787"/>
        <rFont val="Consolas"/>
        <family val="3"/>
      </rPr>
      <t>script</t>
    </r>
    <r>
      <rPr>
        <sz val="11"/>
        <color rgb="FF808080"/>
        <rFont val="Consolas"/>
        <family val="3"/>
      </rPr>
      <t>&gt;</t>
    </r>
  </si>
  <si>
    <r>
      <t xml:space="preserve">    </t>
    </r>
    <r>
      <rPr>
        <sz val="11"/>
        <color rgb="FFD4D4D4"/>
        <rFont val="Consolas"/>
        <family val="3"/>
      </rPr>
      <t>HTML</t>
    </r>
  </si>
  <si>
    <r>
      <t>LockWhenFilledMacro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register</t>
    </r>
    <r>
      <rPr>
        <sz val="11"/>
        <color rgb="FFD4D4D4"/>
        <rFont val="Consolas"/>
        <family val="3"/>
      </rPr>
      <t>();</t>
    </r>
  </si>
  <si>
    <r>
      <t xml:space="preserve">    </t>
    </r>
    <r>
      <rPr>
        <sz val="11"/>
        <color rgb="FFFF7B72"/>
        <rFont val="Consolas"/>
        <family val="3"/>
      </rPr>
      <t>fn</t>
    </r>
    <r>
      <rPr>
        <sz val="11"/>
        <color rgb="FFD4D4D4"/>
        <rFont val="Consolas"/>
        <family val="3"/>
      </rPr>
      <t xml:space="preserve"> ():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=&gt; </t>
    </r>
    <r>
      <rPr>
        <sz val="11"/>
        <color rgb="FF4EC9B0"/>
        <rFont val="Consolas"/>
        <family val="3"/>
      </rPr>
      <t>Action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make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'Calendar'</t>
    </r>
    <r>
      <rPr>
        <sz val="11"/>
        <color rgb="FFD4D4D4"/>
        <rFont val="Consolas"/>
        <family val="3"/>
      </rPr>
      <t>)</t>
    </r>
  </si>
  <si>
    <r>
      <t>        -&gt;</t>
    </r>
    <r>
      <rPr>
        <sz val="11"/>
        <color rgb="FFD2A8FF"/>
        <rFont val="Consolas"/>
        <family val="3"/>
      </rPr>
      <t>label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'Calendar'</t>
    </r>
    <r>
      <rPr>
        <sz val="11"/>
        <color rgb="FFD4D4D4"/>
        <rFont val="Consolas"/>
        <family val="3"/>
      </rPr>
      <t>)</t>
    </r>
  </si>
  <si>
    <r>
      <t>        -&gt;</t>
    </r>
    <r>
      <rPr>
        <sz val="11"/>
        <color rgb="FFD2A8FF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'bites-calendar'</t>
    </r>
    <r>
      <rPr>
        <sz val="11"/>
        <color rgb="FFD4D4D4"/>
        <rFont val="Consolas"/>
        <family val="3"/>
      </rPr>
      <t>)</t>
    </r>
  </si>
  <si>
    <r>
      <t>        -&gt;</t>
    </r>
    <r>
      <rPr>
        <sz val="11"/>
        <color rgb="FFD2A8FF"/>
        <rFont val="Consolas"/>
        <family val="3"/>
      </rPr>
      <t>url</t>
    </r>
    <r>
      <rPr>
        <sz val="11"/>
        <color rgb="FFD4D4D4"/>
        <rFont val="Consolas"/>
        <family val="3"/>
      </rPr>
      <t>(</t>
    </r>
    <r>
      <rPr>
        <sz val="11"/>
        <color rgb="FFD2A8FF"/>
        <rFont val="Consolas"/>
        <family val="3"/>
      </rPr>
      <t>route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'filament.staff.pages.calendar'</t>
    </r>
    <r>
      <rPr>
        <sz val="11"/>
        <color rgb="FFD4D4D4"/>
        <rFont val="Consolas"/>
        <family val="3"/>
      </rPr>
      <t>))</t>
    </r>
  </si>
  <si>
    <r>
      <t>$this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publishes</t>
    </r>
    <r>
      <rPr>
        <sz val="11"/>
        <color rgb="FFD4D4D4"/>
        <rFont val="Consolas"/>
        <family val="3"/>
      </rPr>
      <t>([</t>
    </r>
    <r>
      <rPr>
        <sz val="11"/>
        <color rgb="FF569CD6"/>
        <rFont val="Consolas"/>
        <family val="3"/>
      </rPr>
      <t>__DIR__</t>
    </r>
    <r>
      <rPr>
        <sz val="11"/>
        <color rgb="FFD4D4D4"/>
        <rFont val="Consolas"/>
        <family val="3"/>
      </rPr>
      <t>.</t>
    </r>
    <r>
      <rPr>
        <sz val="11"/>
        <color rgb="FFA5D6FF"/>
        <rFont val="Consolas"/>
        <family val="3"/>
      </rPr>
      <t>'/../resources/assets/models'</t>
    </r>
    <r>
      <rPr>
        <sz val="11"/>
        <color rgb="FFD4D4D4"/>
        <rFont val="Consolas"/>
        <family val="3"/>
      </rPr>
      <t xml:space="preserve"> =&gt; </t>
    </r>
    <r>
      <rPr>
        <sz val="11"/>
        <color rgb="FFD2A8FF"/>
        <rFont val="Consolas"/>
        <family val="3"/>
      </rPr>
      <t>public_path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'models'</t>
    </r>
    <r>
      <rPr>
        <sz val="11"/>
        <color rgb="FFD4D4D4"/>
        <rFont val="Consolas"/>
        <family val="3"/>
      </rPr>
      <t xml:space="preserve">),], </t>
    </r>
    <r>
      <rPr>
        <sz val="11"/>
        <color rgb="FFA5D6FF"/>
        <rFont val="Consolas"/>
        <family val="3"/>
      </rPr>
      <t>'assets'</t>
    </r>
    <r>
      <rPr>
        <sz val="11"/>
        <color rgb="FFD4D4D4"/>
        <rFont val="Consolas"/>
        <family val="3"/>
      </rPr>
      <t>);</t>
    </r>
  </si>
  <si>
    <r>
      <t>$this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loadRoutesFrom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__DIR__</t>
    </r>
    <r>
      <rPr>
        <sz val="11"/>
        <color rgb="FFD4D4D4"/>
        <rFont val="Consolas"/>
        <family val="3"/>
      </rPr>
      <t>.</t>
    </r>
    <r>
      <rPr>
        <sz val="11"/>
        <color rgb="FFA5D6FF"/>
        <rFont val="Consolas"/>
        <family val="3"/>
      </rPr>
      <t>'/../routes/web.php'</t>
    </r>
    <r>
      <rPr>
        <sz val="11"/>
        <color rgb="FFD4D4D4"/>
        <rFont val="Consolas"/>
        <family val="3"/>
      </rPr>
      <t>);</t>
    </r>
  </si>
  <si>
    <t>who+siapa</t>
  </si>
  <si>
    <t>apiconfig+data</t>
  </si>
  <si>
    <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79C0FF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C9D1D9"/>
        <rFont val="Consolas"/>
        <family val="3"/>
      </rPr>
      <t>app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runningInConsole</t>
    </r>
    <r>
      <rPr>
        <sz val="11"/>
        <color rgb="FFD4D4D4"/>
        <rFont val="Consolas"/>
        <family val="3"/>
      </rPr>
      <t xml:space="preserve">()) { </t>
    </r>
    <r>
      <rPr>
        <sz val="11"/>
        <color rgb="FF79C0FF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registerCommandsFromDirectory</t>
    </r>
    <r>
      <rPr>
        <sz val="11"/>
        <color rgb="FFD4D4D4"/>
        <rFont val="Consolas"/>
        <family val="3"/>
      </rPr>
      <t>(); }</t>
    </r>
  </si>
  <si>
    <t>other</t>
  </si>
  <si>
    <t>     * Dynamically discover and boot all commands inside the package directory.</t>
  </si>
  <si>
    <t>     */</t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</si>
  <si>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FF7B72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2A8FF"/>
        <rFont val="Consolas"/>
        <family val="3"/>
      </rPr>
      <t>registerCommandsFromDirectory</t>
    </r>
    <r>
      <rPr>
        <sz val="11"/>
        <color rgb="FFD4D4D4"/>
        <rFont val="Consolas"/>
        <family val="3"/>
      </rPr>
      <t>()</t>
    </r>
  </si>
  <si>
    <r>
      <t xml:space="preserve">        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(! </t>
    </r>
    <r>
      <rPr>
        <sz val="11"/>
        <color rgb="FFDCDCAA"/>
        <rFont val="Consolas"/>
        <family val="3"/>
      </rPr>
      <t>is_dir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$commandDir</t>
    </r>
    <r>
      <rPr>
        <sz val="11"/>
        <color rgb="FFD4D4D4"/>
        <rFont val="Consolas"/>
        <family val="3"/>
      </rPr>
      <t>)) {</t>
    </r>
  </si>
  <si>
    <r>
      <t xml:space="preserve">            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>;</t>
    </r>
  </si>
  <si>
    <r>
      <t xml:space="preserve">        </t>
    </r>
    <r>
      <rPr>
        <sz val="11"/>
        <color rgb="FFC9D1D9"/>
        <rFont val="Consolas"/>
        <family val="3"/>
      </rPr>
      <t>$commands</t>
    </r>
    <r>
      <rPr>
        <sz val="11"/>
        <color rgb="FFD4D4D4"/>
        <rFont val="Consolas"/>
        <family val="3"/>
      </rPr>
      <t xml:space="preserve"> = [];</t>
    </r>
  </si>
  <si>
    <r>
      <t xml:space="preserve">            </t>
    </r>
    <r>
      <rPr>
        <sz val="11"/>
        <color rgb="FFC9D1D9"/>
        <rFont val="Consolas"/>
        <family val="3"/>
      </rPr>
      <t>$className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basename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$file</t>
    </r>
    <r>
      <rPr>
        <sz val="11"/>
        <color rgb="FFD4D4D4"/>
        <rFont val="Consolas"/>
        <family val="3"/>
      </rPr>
      <t xml:space="preserve">, </t>
    </r>
    <r>
      <rPr>
        <sz val="11"/>
        <color rgb="FFA5D6FF"/>
        <rFont val="Consolas"/>
        <family val="3"/>
      </rPr>
      <t>'.php'</t>
    </r>
    <r>
      <rPr>
        <sz val="11"/>
        <color rgb="FFD4D4D4"/>
        <rFont val="Consolas"/>
        <family val="3"/>
      </rPr>
      <t>);</t>
    </r>
  </si>
  <si>
    <r>
      <t xml:space="preserve">            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DCDCAA"/>
        <rFont val="Consolas"/>
        <family val="3"/>
      </rPr>
      <t>class_exists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$class</t>
    </r>
    <r>
      <rPr>
        <sz val="11"/>
        <color rgb="FFD4D4D4"/>
        <rFont val="Consolas"/>
        <family val="3"/>
      </rPr>
      <t xml:space="preserve">) &amp;&amp; </t>
    </r>
    <r>
      <rPr>
        <sz val="11"/>
        <color rgb="FFDCDCAA"/>
        <rFont val="Consolas"/>
        <family val="3"/>
      </rPr>
      <t>is_subclass_of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$class</t>
    </r>
    <r>
      <rPr>
        <sz val="11"/>
        <color rgb="FFD4D4D4"/>
        <rFont val="Consolas"/>
        <family val="3"/>
      </rPr>
      <t xml:space="preserve">, </t>
    </r>
    <r>
      <rPr>
        <sz val="11"/>
        <color rgb="FF4EC9B0"/>
        <rFont val="Consolas"/>
        <family val="3"/>
      </rPr>
      <t>Command</t>
    </r>
    <r>
      <rPr>
        <sz val="11"/>
        <color rgb="FFD4D4D4"/>
        <rFont val="Consolas"/>
        <family val="3"/>
      </rPr>
      <t>::</t>
    </r>
    <r>
      <rPr>
        <sz val="11"/>
        <color rgb="FFFF7B72"/>
        <rFont val="Consolas"/>
        <family val="3"/>
      </rPr>
      <t>class</t>
    </r>
    <r>
      <rPr>
        <sz val="11"/>
        <color rgb="FFD4D4D4"/>
        <rFont val="Consolas"/>
        <family val="3"/>
      </rPr>
      <t>)) {</t>
    </r>
  </si>
  <si>
    <r>
      <t xml:space="preserve">                </t>
    </r>
    <r>
      <rPr>
        <sz val="11"/>
        <color rgb="FFC9D1D9"/>
        <rFont val="Consolas"/>
        <family val="3"/>
      </rPr>
      <t>$reflection</t>
    </r>
    <r>
      <rPr>
        <sz val="11"/>
        <color rgb="FFD4D4D4"/>
        <rFont val="Consolas"/>
        <family val="3"/>
      </rPr>
      <t xml:space="preserve"> = </t>
    </r>
    <r>
      <rPr>
        <sz val="11"/>
        <color rgb="FFFF7B72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ReflectionClass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$class</t>
    </r>
    <r>
      <rPr>
        <sz val="11"/>
        <color rgb="FFD4D4D4"/>
        <rFont val="Consolas"/>
        <family val="3"/>
      </rPr>
      <t>);</t>
    </r>
  </si>
  <si>
    <r>
      <t xml:space="preserve">                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(! </t>
    </r>
    <r>
      <rPr>
        <sz val="11"/>
        <color rgb="FFC9D1D9"/>
        <rFont val="Consolas"/>
        <family val="3"/>
      </rPr>
      <t>$reflection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isAbstract</t>
    </r>
    <r>
      <rPr>
        <sz val="11"/>
        <color rgb="FFD4D4D4"/>
        <rFont val="Consolas"/>
        <family val="3"/>
      </rPr>
      <t>()) {</t>
    </r>
  </si>
  <si>
    <r>
      <t xml:space="preserve">                    </t>
    </r>
    <r>
      <rPr>
        <sz val="11"/>
        <color rgb="FFC9D1D9"/>
        <rFont val="Consolas"/>
        <family val="3"/>
      </rPr>
      <t>$commands</t>
    </r>
    <r>
      <rPr>
        <sz val="11"/>
        <color rgb="FFD4D4D4"/>
        <rFont val="Consolas"/>
        <family val="3"/>
      </rPr>
      <t xml:space="preserve">[] = </t>
    </r>
    <r>
      <rPr>
        <sz val="11"/>
        <color rgb="FFC9D1D9"/>
        <rFont val="Consolas"/>
        <family val="3"/>
      </rPr>
      <t>$class</t>
    </r>
    <r>
      <rPr>
        <sz val="11"/>
        <color rgb="FFD4D4D4"/>
        <rFont val="Consolas"/>
        <family val="3"/>
      </rPr>
      <t>;</t>
    </r>
  </si>
  <si>
    <t>                }</t>
  </si>
  <si>
    <r>
      <t xml:space="preserve">        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C9D1D9"/>
        <rFont val="Consolas"/>
        <family val="3"/>
      </rPr>
      <t>$commands</t>
    </r>
    <r>
      <rPr>
        <sz val="11"/>
        <color rgb="FFD4D4D4"/>
        <rFont val="Consolas"/>
        <family val="3"/>
      </rPr>
      <t xml:space="preserve"> !== []) {</t>
    </r>
  </si>
  <si>
    <r>
      <t xml:space="preserve">            </t>
    </r>
    <r>
      <rPr>
        <sz val="11"/>
        <color rgb="FF79C0FF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commands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$commands</t>
    </r>
    <r>
      <rPr>
        <sz val="11"/>
        <color rgb="FFD4D4D4"/>
        <rFont val="Consolas"/>
        <family val="3"/>
      </rPr>
      <t>);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</si>
  <si>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Illuminate\Console\</t>
    </r>
    <r>
      <rPr>
        <sz val="11"/>
        <color rgb="FF4EC9B0"/>
        <rFont val="Consolas"/>
        <family val="3"/>
      </rPr>
      <t>Command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</si>
  <si>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ReflectionClass</t>
    </r>
    <r>
      <rPr>
        <sz val="11"/>
        <color rgb="FFD4D4D4"/>
        <rFont val="Consolas"/>
        <family val="3"/>
      </rPr>
      <t>;</t>
    </r>
  </si>
  <si>
    <t>extends</t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</si>
  <si>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Filament\Support\Facades\</t>
    </r>
    <r>
      <rPr>
        <sz val="11"/>
        <color rgb="FF4EC9B0"/>
        <rFont val="Consolas"/>
        <family val="3"/>
      </rPr>
      <t>FilamentView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</si>
  <si>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Filament\View\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</si>
  <si>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Rimba\Translate\Enums\</t>
    </r>
    <r>
      <rPr>
        <sz val="11"/>
        <color rgb="FF4EC9B0"/>
        <rFont val="Consolas"/>
        <family val="3"/>
      </rPr>
      <t>Language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</si>
  <si>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Livewire\</t>
    </r>
    <r>
      <rPr>
        <sz val="11"/>
        <color rgb="FF4EC9B0"/>
        <rFont val="Consolas"/>
        <family val="3"/>
      </rPr>
      <t>Livewire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</si>
  <si>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79C0FF"/>
        <rFont val="Consolas"/>
        <family val="3"/>
      </rPr>
      <t xml:space="preserve"> Rimba\HelpFile\Actions\</t>
    </r>
    <r>
      <rPr>
        <sz val="11"/>
        <color rgb="FF4EC9B0"/>
        <rFont val="Consolas"/>
        <family val="3"/>
      </rPr>
      <t>GetHelpAction</t>
    </r>
    <r>
      <rPr>
        <sz val="11"/>
        <color rgb="FFD4D4D4"/>
        <rFont val="Consolas"/>
        <family val="3"/>
      </rPr>
      <t>;</t>
    </r>
  </si>
  <si>
    <r>
      <t>Livewire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component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'bites.help-button'</t>
    </r>
    <r>
      <rPr>
        <sz val="11"/>
        <color rgb="FFD4D4D4"/>
        <rFont val="Consolas"/>
        <family val="3"/>
      </rPr>
      <t xml:space="preserve">, </t>
    </r>
    <r>
      <rPr>
        <sz val="11"/>
        <color rgb="FF4EC9B0"/>
        <rFont val="Consolas"/>
        <family val="3"/>
      </rPr>
      <t>GetHelpAction</t>
    </r>
    <r>
      <rPr>
        <sz val="11"/>
        <color rgb="FFD4D4D4"/>
        <rFont val="Consolas"/>
        <family val="3"/>
      </rPr>
      <t>::</t>
    </r>
    <r>
      <rPr>
        <sz val="11"/>
        <color rgb="FFFF7B72"/>
        <rFont val="Consolas"/>
        <family val="3"/>
      </rPr>
      <t>class</t>
    </r>
    <r>
      <rPr>
        <sz val="11"/>
        <color rgb="FFD4D4D4"/>
        <rFont val="Consolas"/>
        <family val="3"/>
      </rPr>
      <t>);</t>
    </r>
  </si>
  <si>
    <r>
      <t xml:space="preserve">    </t>
    </r>
    <r>
      <rPr>
        <sz val="11"/>
        <color rgb="FFFF7B72"/>
        <rFont val="Consolas"/>
        <family val="3"/>
      </rPr>
      <t>fn</t>
    </r>
    <r>
      <rPr>
        <sz val="11"/>
        <color rgb="FFD4D4D4"/>
        <rFont val="Consolas"/>
        <family val="3"/>
      </rPr>
      <t xml:space="preserve">():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=&gt; </t>
    </r>
    <r>
      <rPr>
        <sz val="11"/>
        <color rgb="FF79C0FF"/>
        <rFont val="Consolas"/>
        <family val="3"/>
      </rPr>
      <t>\Illuminate\Support\Facades\</t>
    </r>
    <r>
      <rPr>
        <sz val="11"/>
        <color rgb="FF4EC9B0"/>
        <rFont val="Consolas"/>
        <family val="3"/>
      </rPr>
      <t>Blade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render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'@livewire(</t>
    </r>
    <r>
      <rPr>
        <sz val="11"/>
        <color rgb="FFD7BA7D"/>
        <rFont val="Consolas"/>
        <family val="3"/>
      </rPr>
      <t>\'</t>
    </r>
    <r>
      <rPr>
        <sz val="11"/>
        <color rgb="FFA5D6FF"/>
        <rFont val="Consolas"/>
        <family val="3"/>
      </rPr>
      <t>bites.help-button</t>
    </r>
    <r>
      <rPr>
        <sz val="11"/>
        <color rgb="FFD7BA7D"/>
        <rFont val="Consolas"/>
        <family val="3"/>
      </rPr>
      <t>\'</t>
    </r>
    <r>
      <rPr>
        <sz val="11"/>
        <color rgb="FFA5D6FF"/>
        <rFont val="Consolas"/>
        <family val="3"/>
      </rPr>
      <t>)'</t>
    </r>
    <r>
      <rPr>
        <sz val="11"/>
        <color rgb="FFD4D4D4"/>
        <rFont val="Consolas"/>
        <family val="3"/>
      </rPr>
      <t>),</t>
    </r>
  </si>
  <si>
    <t>&lt;?php
declare(strict_types=1);
namespace %1;
%2
class %3 extends %8
{
%4
    protected function bootPackage(): void
    {
%5
    }
    protected function registerPackage(): void
    {
%6
    }
%7
}</t>
  </si>
  <si>
    <t>&lt;?php
declare(strict_types=1);
namespace Rimba\Base;
use Illuminate\Support\ServiceProvider;
use Illuminate\Console\Command;
use ReflectionClass;
class BaseServiceProvider extends ServiceProvider
{
    protected string $configFile = __DIR__ . '/../config/bites.php';
    protected function bootPackage(): void
    {
        if ($this-&gt;app-&gt;runningInConsole()) {$this-&gt;registerCommandsFromDirectory();}
    }
    protected function registerPackage(): void
    {
        //
    }
   /**
     * Dynamically discover and boot all commands inside the package directory.
     */
    protected function registerCommandsFromDirectory()
    {
        $commandDir = __DIR__.'/Console/Commands';
        // Ensure the folder exists before scanning
        if (! is_dir($commandDir)) {
            return;
        }
        $commands = [];
        // Loop through all PHP files in your package's command directory
        foreach (glob($commandDir.'/*.php') as $file) {
            $className = basename($file, '.php');
            // Reconstruct the exact fully qualified namespace
            $class = 'Bites\\Base\\Console\\Commands\\'.$className;
            // Check that the class exists and actually extends Laravel's base Command
            if (class_exists($class) &amp;&amp; is_subclass_of($class, Command::class)) {
                // Ensure it is not an abstract class
                $reflection = new ReflectionClass($class);
                if (! $reflection-&gt;isAbstract()) {
                    $commands[] = $class;
                }
            }
        }
        // Register all found commands into the application framework
        if ($commands !== []) {
            $this-&gt;commands($commands);
        }
    }
}</t>
  </si>
  <si>
    <t>&lt;?php
declare(strict_types=1);
namespace Rimba\Translate;
use Rimba\Base\BitesServiceProvider;
use Filament\Support\Facades\FilamentView;
use Filament\View\PanelsRenderHook;
use Rimba\Translate\Enums\Language;
class TranslateServiceProvider extends BitesServiceProvider
{
    protected string $viewsPath = __DIR__ . '/../resources/views';
    protected string $iconsPath = __DIR__ . '/../resources/svg';
    protected function bootPackage(): void
    {
        $languages = Language::googleTranslateLanguages();
        FilamentView::registerRenderHook(
            PanelsRenderHook::USER_MENU_AFTER,
            fn() =&gt; view('bites::language-switch')
        );
        FilamentView::registerRenderHook(
            PanelsRenderHook::SIMPLE_PAGE_END,
            fn() =&gt; view('bites::language-switch')
        );
        FilamentView::registerRenderHook(
            PanelsRenderHook::FOOTER,
            fn(): string =&gt; &lt;&lt;&lt;HTML
            &lt;script&gt;
                window.googleTranslateElementInit = function () {
                    new google.translate.TranslateElement({
                        pageLanguage: 'en',
                        layout: google.translate.TranslateElement.InlineLayout.VERTICAL,
                        autoDisplay: false,
                        includedLanguages: '{$languages}'
                    }, 'google_translate_element');
                };
                window.triggerGoogleTranslate = function (langCode) {
                    const select = document.querySelector('.goog-te-combo');
                    if (! select) {
                        console.log('Google Translate select not found');
                        return;
                    }
                    select.value = langCode;
                    select.dispatchEvent(new Event('change', { bubbles: true }));
                };
            &lt;/script&gt;
            &lt;script src="https://translate.google.com/translate_a/element.js?cb=googleTranslateElementInit"&gt;&lt;/script&gt;
            HTML
        );
    }
    protected function registerPackage(): void
    {
        //
    }
}</t>
  </si>
  <si>
    <t>&lt;?php
declare(strict_types=1);
namespace Rimba\Helpfile;
use Rimba\Base\BitesServiceProvider;
use Filament\Support\Facades\FilamentView;
use Filament\View\PanelsRenderHook;
use Livewire\Livewire;
use Rimba\HelpFile\Actions\GetHelpAction;
class HelpfileServiceProvider extends BitesServiceProvider
{
    protected string $viewsPath = __DIR__ . '/../resources/views';
    protected string $iconsPath = __DIR__ . '/../resources/svg';
    protected function bootPackage(): void
    {
        Livewire::component('bites.help-button', GetHelpAction::class);
        FilamentView::registerRenderHook(
            PanelsRenderHook::USER_MENU_AFTER,
            fn(): string =&gt; \Illuminate\Support\Facades\Blade::render('@livewire(\'bites.help-button\')'),
        );
        FilamentView::registerRenderHook(
            PanelsRenderHook::SIMPLE_PAGE_END,
            fn(): string =&gt; \Illuminate\Support\Facades\Blade::render('@livewire(\'bites.help-button\')'),
        );
    }
    protected function registerPackage(): void
    {
        //
    }
}</t>
  </si>
  <si>
    <t>&lt;?php
declare(strict_types=1);
namespace Rimba\Organization;
use Rimba\Base\BitesServiceProvider;
class OrganizationServiceProvider extends BitesServiceProvider
{
    protected function bootPackage(): void
    {
        //
    }
    protected function registerPackage(): void
    {
        //
    }
}</t>
  </si>
  <si>
    <t>&lt;?php
declare(strict_types=1);
namespace Rimba\People;
use Rimba\Base\BitesServiceProvider;
class PeopleServiceProvider extends BitesServiceProvider
{
    protected function bootPackage(): void
    {
        //
    }
    protected function registerPackage(): void
    {
        //
    }
}</t>
  </si>
  <si>
    <t>&lt;?php
declare(strict_types=1);
namespace Rimba\Position;
use Rimba\Base\BitesServiceProvider;
class PositionServiceProvider extends BitesServiceProvider
{
    protected function bootPackage(): void
    {
        //
    }
    protected function registerPackage(): void
    {
        //
    }
}</t>
  </si>
  <si>
    <t>&lt;?php
declare(strict_types=1);
namespace Rimba\Agreement;
use Rimba\Base\BitesServiceProvider;
class AgreementServiceProvider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</si>
  <si>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Rimba\Who;
use Rimba\Base\BitesServiceProvider;
class WhoServiceProvider extends BitesServiceProvider
{
    protected string $configFile = __DIR__ . '/../config/bites.php';
    protected string $viewsPath = __DIR__ . '/../resources/views';
    protected string $iconsPath = __DIR__ . '/../resources/svg';
    protected function bootPackage(): void
    {
        $this-&gt;publishes([__DIR__.'/../resources/assets/models' =&gt; public_path('models'),], 'assets');
        $this-&gt;loadRoutesFrom(__DIR__.'/../routes/web.php');
    }
    protected function registerPackage(): void
    {
        //
    }
}</t>
  </si>
  <si>
    <t>&lt;?php
declare(strict_types=1);
namespace Rimba\Can;
use Rimba\Base\BitesServiceProvider;
class CanServiceProvider extends BitesServiceProvider
{
    protected function bootPackage(): void
    {
        //
    }
    protected function registerPackage(): void
    {
        //
    }
}</t>
  </si>
  <si>
    <t>&lt;?php
declare(strict_types=1);
namespace Rimba\Trail;
use Rimba\Base\BitesServiceProvider;
class TrailServiceProvider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</si>
  <si>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Rimba\Work;
use Rimba\Base\BitesServiceProvider;
class WorkServiceProvider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</si>
  <si>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Rimba\Flow;
use Rimba\Base\BitesServiceProvider;
class FlowServiceProvider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</si>
  <si>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Rimba\Menu;
use Rimba\Base\BitesServiceProvider;
class MenuServiceProvider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</si>
  <si>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Rimba\Branding;
use Rimba\Base\BitesServiceProvider;
class BrandingServiceProvider extends BitesServiceProvider
{
    protected function bootPackage(): void
    {
        //
    }
    protected function registerPackage(): void
    {
        //
    }
}</t>
  </si>
  <si>
    <t>rimba/pihak</t>
  </si>
  <si>
    <t>{
    "name": "rimba/janji",
    "description": "Lightweight representation of agreements (contracts, SLAs, MOUs) linking parties, assets, or services.",
    "type": "library",
    "license": "MIT",
    "authors": [
        {
            "name": "BIT Ecosystem",
            "email": "bit.ecosystem@gmail.com"
        }
    ],
    "require": {
        "php": "^8.3",
        "rimba/asas": "^1.0",
        "rimba/pihak": "^1.0"
    },
    "extra": {
        "laravel": {
            "providers": [
                "Rimba\\Agreement\\AgreementServiceProvider"
            ]
        }
    },
    "autoload": {
        "psr-4": {
           "Rimba\\Agreement\\": "src/"
        }
    },
    "minimum-stability": "alpha",
    "prefer-stable": true
}</t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</si>
  <si>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Rimba\Attributing\Macros\</t>
    </r>
    <r>
      <rPr>
        <sz val="11"/>
        <color rgb="FF4EC9B0"/>
        <rFont val="Consolas"/>
        <family val="3"/>
      </rPr>
      <t>LockWhenFilledMacro</t>
    </r>
    <r>
      <rPr>
        <sz val="11"/>
        <color rgb="FFD4D4D4"/>
        <rFont val="Consolas"/>
        <family val="3"/>
      </rPr>
      <t>;</t>
    </r>
  </si>
  <si>
    <t>&lt;?php
declare(strict_types=1);
namespace Rimba\Attributing;
use Rimba\Base\BitesServiceProvider;
use Rimba\Attributing\Macros\LockWhenFilledMacro;
class AttributingServiceProvider extends BitesServiceProvider
{
    protected string $configFile = __DIR__ . '/../config/bites.php';
    protected string $iconsPath = __DIR__ . '/../resources/svg';
    protected function bootPackage(): void
    {
        $this-&gt;loadMigrationsFrom(__DIR__.'/../database/migrations');
        LockWhenFilledMacro::register();
    }
    protected function registerPackage(): void
    {
        //
    }
}</t>
  </si>
  <si>
    <t>rimba/orang</t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</si>
  <si>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Filament\Actions\</t>
    </r>
    <r>
      <rPr>
        <sz val="11"/>
        <color rgb="FF4EC9B0"/>
        <rFont val="Consolas"/>
        <family val="3"/>
      </rPr>
      <t>Action</t>
    </r>
    <r>
      <rPr>
        <sz val="11"/>
        <color rgb="FFD4D4D4"/>
        <rFont val="Consolas"/>
        <family val="3"/>
      </rPr>
      <t>;</t>
    </r>
  </si>
  <si>
    <t>&lt;?php
declare(strict_types=1);
namespace Rimba\Time;
use Rimba\Base\BitesServiceProvider;
use Filament\Actions\Action;
use Filament\Support\Facades\FilamentView;
use Filament\View\PanelsRenderHook;
class TimeServiceProvider extends BitesServiceProvider
{
    protected string $configFile = __DIR__ . '/../config/bites.php';
    protected string $viewsPath = __DIR__ . '/../resources/views';
    protected string $iconsPath = __DIR__ . '/../resources/svg';
    protected function bootPackage(): void
    {
        $this-&gt;loadMigrationsFrom(__DIR__.'/../database/migrations');
        FilamentView::registerRenderHook(
            PanelsRenderHook::GLOBAL_SEARCH_BEFORE,
            fn (): string =&gt; Action::make('Calendar')
                -&gt;label('Calendar')
                -&gt;iconButton()
                -&gt;badge()
                -&gt;icon('bites-calendar')
                -&gt;url(route('filament.staff.pages.calendar'))
                -&gt;toHtml(),
        );
    }
    protected function registerPackage(): void
    {
        //
    }
}</t>
  </si>
  <si>
    <t>&lt;?php
declare(strict_types=1);
namespace Rimba\Floorplan;
use Rimba\Base\BitesServiceProvider;
use Filament\Actions\Action;
use Filament\Support\Facades\FilamentView;
use Filament\View\PanelsRenderHook;
class FloorplanServiceProvider extends BitesServiceProvider
{
    protected string $configFile = __DIR__ . '/../config/bites.php';
    protected string $viewsPath = __DIR__ . '/../resources/views';
    protected string $iconsPath = __DIR__ . '/../resources/svg';
    protected function bootPackage(): void
    {
        $this-&gt;loadMigrationsFrom(__DIR__.'/../database/migrations');
        FilamentView::registerRenderHook(
            PanelsRenderHook::GLOBAL_SEARCH_BEFORE,
            fn (): string =&gt; Action::make('FloorPlan')
                -&gt;label('Floor Plan')
                -&gt;iconButton()
                -&gt;badge()
                -&gt;icon('bites-location')
                -&gt;url(route('filament.staff.pages.floor-plan'))
                -&gt;toHtml(),
        );
    }
    protected function registerPackage(): void
    {
        //
    }
}</t>
  </si>
  <si>
    <t>{
    "name": "rimba/pelan",
    "description": "Models physical spaces (buildings, rooms, zones) for location-aware operations.",
    "type": "library",
    "license": "MIT",
    "authors": [
        {
            "name": "BIT Ecosystem",
            "email": "bit.ecosystem@gmail.com"
        }
    ],
    "require": {
        "php": "^8.3",
        "rimba/asas": "^1.0",
        "rimba/pihak": "^1.0"
    },
    "extra": {
        "laravel": {
            "providers": [
                "Rimba\\Floorplan\\FloorplanServiceProvider"
            ]
        }
    },
    "autoload": {
        "psr-4": {
           "Rimba\\Floorplan\\": "src/"
        }
    },
    "minimum-stability": "alpha",
    "prefer-stable": true
}</t>
  </si>
  <si>
    <t>{
    "name": "rimba/jejak",
    "description": "System-wide activity log tracking actions, changes, and events for traceability and accountability.",
    "type": "library",
    "license": "MIT",
    "authors": [
        {
            "name": "BIT Ecosystem",
            "email": "bit.ecosystem@gmail.com"
        }
    ],
    "require": {
        "php": "^8.3",
        "rimba/asas": "^1.0",
        "rimba/orang": "^1.0"
    },
    "extra": {
        "laravel": {
            "providers": [
                "Rimba\\Trail\\TrailServiceProvider"
            ]
        }
    },
    "autoload": {
        "psr-4": {
           "Rimba\\Trail\\": "src/"
        }
    },
    "minimum-stability": "alpha",
    "prefer-stable": true
}</t>
  </si>
  <si>
    <t>declare(strict_types=1);</t>
  </si>
  <si>
    <t>/**</t>
  </si>
  <si>
    <t xml:space="preserve">    }</t>
  </si>
  <si>
    <t>sc</t>
  </si>
  <si>
    <t>ec</t>
  </si>
  <si>
    <t>ns</t>
  </si>
  <si>
    <t>rpt</t>
  </si>
  <si>
    <t xml:space="preserve">    {</t>
  </si>
  <si>
    <t xml:space="preserve">            -&gt;first();</t>
  </si>
  <si>
    <t xml:space="preserve">        }</t>
  </si>
  <si>
    <t xml:space="preserve">        );</t>
  </si>
  <si>
    <t xml:space="preserve">            -&gt;count();</t>
  </si>
  <si>
    <t xml:space="preserve">        if (</t>
  </si>
  <si>
    <t xml:space="preserve">        ) {</t>
  </si>
  <si>
    <t xml:space="preserve">            );</t>
  </si>
  <si>
    <t xml:space="preserve">    ): bool {</t>
  </si>
  <si>
    <t xml:space="preserve">    public function start(</t>
  </si>
  <si>
    <t xml:space="preserve">            -&gt;exists();</t>
  </si>
  <si>
    <t xml:space="preserve">            -&gt;execute(</t>
  </si>
  <si>
    <t xml:space="preserve">    ): int {</t>
  </si>
  <si>
    <t xml:space="preserve">    ): float {</t>
  </si>
  <si>
    <t xml:space="preserve">        if ($total === 0) {</t>
  </si>
  <si>
    <t xml:space="preserve">            return 0;</t>
  </si>
  <si>
    <t xml:space="preserve">        return round(</t>
  </si>
  <si>
    <t xml:space="preserve">            2,</t>
  </si>
  <si>
    <t>use App\Trees\Organization\Models\Staff;</t>
  </si>
  <si>
    <t>use Rimba\Work\Enums\ChecklistStatus;</t>
  </si>
  <si>
    <t>use Rimba\Work\Enums\TaskStatus;</t>
  </si>
  <si>
    <t>use Rimba\Work\Enums\WorkPackageStatus;</t>
  </si>
  <si>
    <t>use Rimba\Work\Models\Checklist;</t>
  </si>
  <si>
    <t>use Rimba\Work\Models\ChecklistInstance;</t>
  </si>
  <si>
    <t>use Rimba\Work\Models\TaskInstance;</t>
  </si>
  <si>
    <t>use Rimba\Work\Models\WorkPackage;</t>
  </si>
  <si>
    <t>use Rimba\Work\Models\WorkPackageInstance;</t>
  </si>
  <si>
    <t>/*</t>
  </si>
  <si>
    <t>|--------------------------------------------------------------------------</t>
  </si>
  <si>
    <t>*/</t>
  </si>
  <si>
    <t xml:space="preserve">        WorkPackage $workPackage,</t>
  </si>
  <si>
    <t xml:space="preserve">    ): WorkPackageInstance {</t>
  </si>
  <si>
    <t xml:space="preserve">            -&gt;checklists()</t>
  </si>
  <si>
    <t xml:space="preserve">        Checklist $checklist,</t>
  </si>
  <si>
    <t xml:space="preserve">        WorkPackageInstance $instance,</t>
  </si>
  <si>
    <t xml:space="preserve">    ): ChecklistInstance {</t>
  </si>
  <si>
    <t xml:space="preserve">            )</t>
  </si>
  <si>
    <t xml:space="preserve">    ): TaskInstance {</t>
  </si>
  <si>
    <t xml:space="preserve">        TaskInstance $taskInstance,</t>
  </si>
  <si>
    <t xml:space="preserve">        Staff $staff,</t>
  </si>
  <si>
    <t xml:space="preserve">                $taskInstance</t>
  </si>
  <si>
    <t>|</t>
  </si>
  <si>
    <t>use Rimba\Work\Actions\ActivateChecklist;</t>
  </si>
  <si>
    <t>use Rimba\Work\Actions\CompleteChecklist;</t>
  </si>
  <si>
    <t>use Rimba\Work\Actions\CompleteWorkPackage;</t>
  </si>
  <si>
    <t xml:space="preserve">            -&gt;workPackage</t>
  </si>
  <si>
    <t xml:space="preserve">            -&gt;orderBy('sort_order')</t>
  </si>
  <si>
    <t xml:space="preserve">        ChecklistInstance $instance,</t>
  </si>
  <si>
    <t xml:space="preserve">            $taskInstance-&gt;assigned_to_id</t>
  </si>
  <si>
    <t xml:space="preserve">    public function claim(</t>
  </si>
  <si>
    <t xml:space="preserve">            return false;</t>
  </si>
  <si>
    <t xml:space="preserve">            -&gt;whereKey(</t>
  </si>
  <si>
    <t xml:space="preserve">                    -&gt;task</t>
  </si>
  <si>
    <t xml:space="preserve">                    -&gt;role_id</t>
  </si>
  <si>
    <t xml:space="preserve">    public function release(</t>
  </si>
  <si>
    <t>namespace Rimba\Work\Services;</t>
  </si>
  <si>
    <t>use Rimba\Work\Actions\AssignTask;</t>
  </si>
  <si>
    <t>use Rimba\Work\Actions\ClaimTask;</t>
  </si>
  <si>
    <t>use Rimba\Work\Actions\ReleaseTask;</t>
  </si>
  <si>
    <t>use Rimba\Work\Actions\StartWorkPackage;</t>
  </si>
  <si>
    <t>| SERVICES</t>
  </si>
  <si>
    <t>| WorkEngine</t>
  </si>
  <si>
    <t>| Main orchestration service.</t>
  </si>
  <si>
    <t>| High-level workflow operations belong here.</t>
  </si>
  <si>
    <t>final class WorkEngine</t>
  </si>
  <si>
    <t xml:space="preserve">        return app(StartWorkPackage::class)</t>
  </si>
  <si>
    <t xml:space="preserve">            -&gt;execute($workPackage);</t>
  </si>
  <si>
    <t xml:space="preserve">    public function activateChecklist(</t>
  </si>
  <si>
    <t xml:space="preserve">        return app(ActivateChecklist::class)</t>
  </si>
  <si>
    <t xml:space="preserve">                $instance,</t>
  </si>
  <si>
    <t xml:space="preserve">                $checklist,</t>
  </si>
  <si>
    <t xml:space="preserve">    public function completeChecklist(</t>
  </si>
  <si>
    <t xml:space="preserve">        return app(CompleteChecklist::class)</t>
  </si>
  <si>
    <t xml:space="preserve">            -&gt;execute($instance);</t>
  </si>
  <si>
    <t xml:space="preserve">    public function completeWorkPackage(</t>
  </si>
  <si>
    <t xml:space="preserve">        return app(CompleteWorkPackage::class)</t>
  </si>
  <si>
    <t xml:space="preserve">    public function nextChecklist(</t>
  </si>
  <si>
    <t xml:space="preserve">    ): ?Checklist {</t>
  </si>
  <si>
    <t xml:space="preserve">        return $instance</t>
  </si>
  <si>
    <t xml:space="preserve">            -&gt;workPackageInstance</t>
  </si>
  <si>
    <t xml:space="preserve">            -&gt;where(</t>
  </si>
  <si>
    <t xml:space="preserve">                'sort_order',</t>
  </si>
  <si>
    <t xml:space="preserve">                '&gt;',</t>
  </si>
  <si>
    <t xml:space="preserve">                $instance-&gt;checklist-&gt;sort_order</t>
  </si>
  <si>
    <t>| ChecklistProgressService</t>
  </si>
  <si>
    <t>| Checklist completion calculations.</t>
  </si>
  <si>
    <t>final class ChecklistProgressService</t>
  </si>
  <si>
    <t xml:space="preserve">    public function totalTasks(</t>
  </si>
  <si>
    <t xml:space="preserve">            -&gt;taskInstances()</t>
  </si>
  <si>
    <t xml:space="preserve">    public function completedTasks(</t>
  </si>
  <si>
    <t xml:space="preserve">            -&gt;whereIn('status', [</t>
  </si>
  <si>
    <t xml:space="preserve">                TaskStatus::Completed,</t>
  </si>
  <si>
    <t xml:space="preserve">                TaskStatus::Skipped,</t>
  </si>
  <si>
    <t xml:space="preserve">                TaskStatus::Cancelled,</t>
  </si>
  <si>
    <t xml:space="preserve">            ])</t>
  </si>
  <si>
    <t xml:space="preserve">    public function remainingTasks(</t>
  </si>
  <si>
    <t xml:space="preserve">                TaskStatus::Queue,</t>
  </si>
  <si>
    <t xml:space="preserve">                TaskStatus::Active,</t>
  </si>
  <si>
    <t xml:space="preserve">    public function percentage(</t>
  </si>
  <si>
    <t xml:space="preserve">        $total = $this-&gt;totalTasks($instance);</t>
  </si>
  <si>
    <t xml:space="preserve">            ($this-&gt;completedTasks($instance) / $total) * 100,</t>
  </si>
  <si>
    <t xml:space="preserve">    public function isComplete(</t>
  </si>
  <si>
    <t xml:space="preserve">        return $this-&gt;remainingTasks(</t>
  </si>
  <si>
    <t xml:space="preserve">            $instance</t>
  </si>
  <si>
    <t xml:space="preserve">        ) === 0;</t>
  </si>
  <si>
    <t>| TaskAssignmentService</t>
  </si>
  <si>
    <t>| Assignment and ownership operations.</t>
  </si>
  <si>
    <t>final class TaskAssignmentService</t>
  </si>
  <si>
    <t xml:space="preserve">    public function assign(</t>
  </si>
  <si>
    <t xml:space="preserve">        return app(AssignTask::class)</t>
  </si>
  <si>
    <t xml:space="preserve">                $taskInstance,</t>
  </si>
  <si>
    <t xml:space="preserve">                $staff,</t>
  </si>
  <si>
    <t xml:space="preserve">        return app(ClaimTask::class)</t>
  </si>
  <si>
    <t xml:space="preserve">        return app(ReleaseTask::class)</t>
  </si>
  <si>
    <t xml:space="preserve">            -&gt;execute($taskInstance);</t>
  </si>
  <si>
    <t xml:space="preserve">    public function isAssigned(</t>
  </si>
  <si>
    <t xml:space="preserve">        return ! is_null(</t>
  </si>
  <si>
    <t xml:space="preserve">    public function isClaimable(</t>
  </si>
  <si>
    <t xml:space="preserve">            $taskInstance-&gt;status !== TaskStatus::Queue</t>
  </si>
  <si>
    <t xml:space="preserve">        return $staff</t>
  </si>
  <si>
    <t xml:space="preserve">            -&gt;roles()</t>
  </si>
  <si>
    <t>| WorkMetricsService</t>
  </si>
  <si>
    <t>| Dashboard and reporting calculations.</t>
  </si>
  <si>
    <t>final class WorkMetricsService</t>
  </si>
  <si>
    <t xml:space="preserve">    public function activeWorkPackages(): int</t>
  </si>
  <si>
    <t xml:space="preserve">        return WorkPackageInstance::query()</t>
  </si>
  <si>
    <t xml:space="preserve">                'status',</t>
  </si>
  <si>
    <t xml:space="preserve">                WorkPackageStatus::Active</t>
  </si>
  <si>
    <t xml:space="preserve">    public function completedWorkPackages(): int</t>
  </si>
  <si>
    <t xml:space="preserve">                WorkPackageStatus::Completed</t>
  </si>
  <si>
    <t xml:space="preserve">    public function cancelledWorkPackages(): int</t>
  </si>
  <si>
    <t xml:space="preserve">                WorkPackageStatus::Cancelled</t>
  </si>
  <si>
    <t xml:space="preserve">    public function pendingChecklists(): int</t>
  </si>
  <si>
    <t xml:space="preserve">        return ChecklistInstance::query()</t>
  </si>
  <si>
    <t xml:space="preserve">                ChecklistStatus::Pending</t>
  </si>
  <si>
    <t xml:space="preserve">    public function queuedTasks(): int</t>
  </si>
  <si>
    <t xml:space="preserve">        return TaskInstance::query()</t>
  </si>
  <si>
    <t xml:space="preserve">                TaskStatus::Queue</t>
  </si>
  <si>
    <t xml:space="preserve">    public function activeTasks(): int</t>
  </si>
  <si>
    <t xml:space="preserve">                TaskStatus::Active</t>
  </si>
  <si>
    <t xml:space="preserve">    public function completedTasks(): int</t>
  </si>
  <si>
    <t xml:space="preserve">                TaskStatus::Completed</t>
  </si>
  <si>
    <t xml:space="preserve">    public function completionRate(): float</t>
  </si>
  <si>
    <t xml:space="preserve">        $total = WorkPackageInstance::query()</t>
  </si>
  <si>
    <t xml:space="preserve">        $completed = WorkPackageInstance::query()</t>
  </si>
  <si>
    <t xml:space="preserve">            ($completed / $total) * 100,</t>
  </si>
  <si>
    <t xml:space="preserve">    public function averageTasksPerWorkPackage(): float</t>
  </si>
  <si>
    <t xml:space="preserve">        $totalPackages = WorkPackage::query()-&gt;count();</t>
  </si>
  <si>
    <t xml:space="preserve">        if ($totalPackages === 0) {</t>
  </si>
  <si>
    <t xml:space="preserve">        $totalTasks = \Rimba\Work\Models\Task::query()</t>
  </si>
  <si>
    <t xml:space="preserve">            $totalTasks / $totalPackages,</t>
  </si>
  <si>
    <t>C:\Users\153582\packagist\Rimba\kerja\src\Services\</t>
  </si>
  <si>
    <t>WorkEngine.php</t>
  </si>
  <si>
    <t xml:space="preserve">&lt;?php
declare(strict_types=1);
namespace Rimba\Work\Services;
use App\Trees\Organization\Models\Staff;
use Rimba\Work\Actions\ActivateChecklist;
use Rimba\Work\Actions\AssignTask;
use Rimba\Work\Actions\ClaimTask;
use Rimba\Work\Actions\CompleteChecklist;
use Rimba\Work\Actions\CompleteWorkPackage;
use Rimba\Work\Actions\ReleaseTask;
use Rimba\Work\Actions\StartWorkPackage;
use Rimba\Work\Enums\ChecklistStatus;
use Rimba\Work\Enums\TaskStatus;
use Rimba\Work\Enums\WorkPackageStatus;
use Rimba\Work\Models\Checklist;
use Rimba\Work\Models\ChecklistInstance;
use Rimba\Work\Models\TaskInstance;
use Rimba\Work\Models\WorkPackage;
use Rimba\Work\Models\WorkPackageInstance;
final class WorkEngine
{
    public function start(
        WorkPackage $workPackage,
    ): WorkPackageInstance {
        return app(StartWorkPackage::class)
            -&gt;execute($workPackage);
    }
    public function activateChecklist(
        WorkPackageInstance $instance,
        Checklist $checklist,
    ): ChecklistInstance {
        return app(ActivateChecklist::class)
            -&gt;execute(
                $instance,
                $checklist,
            );
    }
    public function completeChecklist(
        ChecklistInstance $instance,
    ): ChecklistInstance {
        return app(CompleteChecklist::class)
            -&gt;execute($instance);
    }
    public function completeWorkPackage(
        WorkPackageInstance $instance,
    ): WorkPackageInstance {
        return app(CompleteWorkPackage::class)
            -&gt;execute($instance);
    }
    public function nextChecklist(
        ChecklistInstance $instance,
    ): ?Checklist {
        return $instance
            -&gt;workPackageInstance
            -&gt;workPackage
            -&gt;checklists()
            -&gt;where(
                'sort_order',
                '&gt;',
                $instance-&gt;checklist-&gt;sort_order
            )
            -&gt;orderBy('sort_order')
            -&gt;first();
    }
}
</t>
  </si>
  <si>
    <t>ChecklistProgressService.php</t>
  </si>
  <si>
    <t xml:space="preserve">&lt;?php
declare(strict_types=1);
namespace Rimba\Work\Services;
use App\Trees\Organization\Models\Staff;
use Rimba\Work\Actions\ActivateChecklist;
use Rimba\Work\Actions\AssignTask;
use Rimba\Work\Actions\ClaimTask;
use Rimba\Work\Actions\CompleteChecklist;
use Rimba\Work\Actions\CompleteWorkPackage;
use Rimba\Work\Actions\ReleaseTask;
use Rimba\Work\Actions\StartWorkPackage;
use Rimba\Work\Enums\ChecklistStatus;
use Rimba\Work\Enums\TaskStatus;
use Rimba\Work\Enums\WorkPackageStatus;
use Rimba\Work\Models\Checklist;
use Rimba\Work\Models\ChecklistInstance;
use Rimba\Work\Models\TaskInstance;
use Rimba\Work\Models\WorkPackage;
use Rimba\Work\Models\WorkPackageInstance;
final class ChecklistProgressService
{
    public function totalTasks(
        ChecklistInstance $instance,
    ): int {
        return $instance
            -&gt;taskInstances()
            -&gt;count();
    }
    public function completedTasks(
        ChecklistInstance $instance,
    ): int {
        return $instance
            -&gt;taskInstances()
            -&gt;whereIn('status', [
                TaskStatus::Completed,
                TaskStatus::Skipped,
                TaskStatus::Cancelled,
            ])
            -&gt;count();
    }
    public function remainingTasks(
        ChecklistInstance $instance,
    ): int {
        return $instance
            -&gt;taskInstances()
            -&gt;whereIn('status', [
                TaskStatus::Queue,
                TaskStatus::Active,
            ])
            -&gt;count();
    }
    public function percentage(
        ChecklistInstance $instance,
    ): float {
        $total = $this-&gt;totalTasks($instance);
        if ($total === 0) {
            return 0;
        }
        return round(
            ($this-&gt;completedTasks($instance) / $total) * 100,
            2,
        );
    }
    public function isComplete(
        ChecklistInstance $instance,
    ): bool {
        return $this-&gt;remainingTasks(
            $instance
        ) === 0;
    }
}
</t>
  </si>
  <si>
    <t>TaskAssignmentService.php</t>
  </si>
  <si>
    <t xml:space="preserve">&lt;?php
declare(strict_types=1);
namespace Rimba\Work\Services;
use App\Trees\Organization\Models\Staff;
use Rimba\Work\Actions\ActivateChecklist;
use Rimba\Work\Actions\AssignTask;
use Rimba\Work\Actions\ClaimTask;
use Rimba\Work\Actions\CompleteChecklist;
use Rimba\Work\Actions\CompleteWorkPackage;
use Rimba\Work\Actions\ReleaseTask;
use Rimba\Work\Actions\StartWorkPackage;
use Rimba\Work\Enums\ChecklistStatus;
use Rimba\Work\Enums\TaskStatus;
use Rimba\Work\Enums\WorkPackageStatus;
use Rimba\Work\Models\Checklist;
use Rimba\Work\Models\ChecklistInstance;
use Rimba\Work\Models\TaskInstance;
use Rimba\Work\Models\WorkPackage;
use Rimba\Work\Models\WorkPackageInstance;
final class TaskAssignmentService
{
    public function assign(
        TaskInstance $taskInstance,
        Staff $staff,
    ): TaskInstance {
        return app(AssignTask::class)
            -&gt;execute(
                $taskInstance,
                $staff,
            );
    }
    public function claim(
        TaskInstance $taskInstance,
        Staff $staff,
    ): TaskInstance {
        return app(ClaimTask::class)
            -&gt;execute(
                $taskInstance,
                $staff,
            );
    }
    public function release(
        TaskInstance $taskInstance,
    ): TaskInstance {
        return app(ReleaseTask::class)
            -&gt;execute($taskInstance);
    }
    public function isAssigned(
        TaskInstance $taskInstance,
    ): bool {
        return ! is_null(
            $taskInstance-&gt;assigned_to_id
        );
    }
    public function isClaimable(
        TaskInstance $taskInstance,
        Staff $staff,
    ): bool {
        if (
            $taskInstance-&gt;status !== TaskStatus::Queue
        ) {
            return false;
        }
        return $staff
            -&gt;roles()
            -&gt;whereKey(
                $taskInstance
                    -&gt;task
                    -&gt;role_id
            )
            -&gt;exists();
    }
}
</t>
  </si>
  <si>
    <t>WorkMetricsService.php</t>
  </si>
  <si>
    <t xml:space="preserve">&lt;?php
declare(strict_types=1);
namespace Rimba\Work\Services;
use App\Trees\Organization\Models\Staff;
use Rimba\Work\Actions\ActivateChecklist;
use Rimba\Work\Actions\AssignTask;
use Rimba\Work\Actions\ClaimTask;
use Rimba\Work\Actions\CompleteChecklist;
use Rimba\Work\Actions\CompleteWorkPackage;
use Rimba\Work\Actions\ReleaseTask;
use Rimba\Work\Actions\StartWorkPackage;
use Rimba\Work\Enums\ChecklistStatus;
use Rimba\Work\Enums\TaskStatus;
use Rimba\Work\Enums\WorkPackageStatus;
use Rimba\Work\Models\Checklist;
use Rimba\Work\Models\ChecklistInstance;
use Rimba\Work\Models\TaskInstance;
use Rimba\Work\Models\WorkPackage;
use Rimba\Work\Models\WorkPackageInstance;
final class WorkMetricsService
{
    public function activeWorkPackages(): int
    {
        return WorkPackageInstance::query()
            -&gt;where(
                'status',
                WorkPackageStatus::Active
            )
            -&gt;count();
    }
    public function completedWorkPackages(): int
    {
        return WorkPackageInstance::query()
            -&gt;where(
                'status',
                WorkPackageStatus::Completed
            )
            -&gt;count();
    }
    public function cancelledWorkPackages(): int
    {
        return WorkPackageInstance::query()
            -&gt;where(
                'status',
                WorkPackageStatus::Cancelled
            )
            -&gt;count();
    }
    public function pendingChecklists(): int
    {
        return ChecklistInstance::query()
            -&gt;where(
                'status',
                ChecklistStatus::Pending
            )
            -&gt;count();
    }
    public function queuedTasks(): int
    {
        return TaskInstance::query()
            -&gt;where(
                'status',
                TaskStatus::Queue
            )
            -&gt;count();
    }
    public function activeTasks(): int
    {
        return TaskInstance::query()
            -&gt;where(
                'status',
                TaskStatus::Active
            )
            -&gt;count();
    }
    public function completedTasks(): int
    {
        return TaskInstance::query()
            -&gt;where(
                'status',
                TaskStatus::Completed
            )
            -&gt;count();
    }
    public function completionRate(): float
    {
        $total = WorkPackageInstance::query()
            -&gt;count();
        if ($total === 0) {
            return 0;
        }
        $completed = WorkPackageInstance::query()
            -&gt;where(
                'status',
                WorkPackageStatus::Completed
            )
            -&gt;count();
        return round(
            ($completed / $total) * 100,
            2,
        );
    }
    public function averageTasksPerWorkPackage(): float
    {
        $totalPackages = WorkPackage::query()-&gt;count();
        if ($totalPackages === 0) {
            return 0;
        }
        $totalTasks = \Rimba\Work\Models\Task::query()
            -&gt;count();
        return round(
            $totalTasks / $totalPackages,
            2,
        );
    }
}
</t>
  </si>
  <si>
    <t>rimba/kerja</t>
  </si>
  <si>
    <t>rimba/jejak</t>
  </si>
  <si>
    <t>{
    "name": "rimba/waktu",
    "description": "Handles time structures like holidays, shifts, rosters, and events.",
    "type": "library",
    "license": "MIT",
    "authors": [
        {
            "name": "BIT Ecosystem",
            "email": "bit.ecosystem@gmail.com"
        }
    ],
    "require": {
        "php": "^8.3",
        "rimba/asas": "^1.0",
        "rimba/orang": "^1.0",
        "rimba/pihak": "^1.0"
    },
    "extra": {
        "laravel": {
            "providers": [
                "Rimba\\Time\\TimeServiceProvider"
            ]
        }
    },
    "autoload": {
        "psr-4": {
           "Rimba\\Time\\": "src/"
        }
    },
    "minimum-stability": "alpha",
    "prefer-stable": true
}</t>
  </si>
  <si>
    <t>{
    "name": "rimba/kerja",
    "description": "Execution layer for tasks, checklists, and work packages.",
    "type": "library",
    "license": "MIT",
    "authors": [
        {
            "name": "BIT Ecosystem",
            "email": "bit.ecosystem@gmail.com"
        }
    ],
    "require": {
        "php": "^8.3",
        "rimba/asas": "^1.0",
        "rimba/jejak": "^1.0",
        "rimba/orang": "^1.0",
        "rimba/pihak": "^1.0",
        "spatie/laravel-permission": "^7.3"
    },
    "extra": {
        "laravel": {
            "providers": [
                "Rimba\\Work\\WorkServiceProvider"
            ]
        }
    },
    "autoload": {
        "psr-4": {
           "Rimba\\Work\\": "src/"
        }
    },
    "minimum-stability": "alpha",
    "prefer-stable": true
}</t>
  </si>
  <si>
    <t>{
    "name": "rimba/jalan",
    "description": "Workflow engine that defines process flows, transitions, and automation logic.",
    "type": "library",
    "license": "MIT",
    "authors": [
        {
            "name": "BIT Ecosystem",
            "email": "bit.ecosystem@gmail.com"
        }
    ],
    "require": {
        "php": "^8.3",
        "rimba/asas": "^1.0",
        "rimba/jejak": "^1.0",
        "rimba/kerja": "^1.0",
        "rimba/pihak": "^1.0",
        "spatie/laravel-permission": "^7.3"
    },
    "extra": {
        "laravel": {
            "providers": [
                "Rimba\\Flow\\FlowServiceProvider"
            ]
        }
    },
    "autoload": {
        "psr-4": {
           "Rimba\\Flow\\": "src/"
        }
    },
    "minimum-stability": "alpha",
    "prefer-stable": true
}</t>
  </si>
  <si>
    <t>rimba/versi</t>
  </si>
  <si>
    <t>{
    "name": "rimba/jalur",
    "description": "Defines requestable services and offerings with forms and fulfillment entry points.",
    "type": "library",
    "license": "MIT",
    "authors": [
        {
            "name": "BIT Ecosystem",
            "email": "bit.ecosystem@gmail.com"
        }
    ],
    "require": {
        "php": "^8.3",
        "rimba/asas": "^1.0",
        "rimba/versi": "^1.0"
    },
    "extra": {
        "laravel": {
            "providers": [
                "Rimba\\Menu\\MenuServiceProvider"
            ]
        }
    },
    "autoload": {
        "psr-4": {
           "Rimba\\Menu\\": "src/"
        }
    },
    "minimum-stability": "alpha",
    "prefer-stable": true
}</t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</si>
  <si>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Rimba\Versioning\Http\UI\Admin\Resources\Versions\RelationManagers\</t>
    </r>
    <r>
      <rPr>
        <sz val="11"/>
        <color rgb="FF4EC9B0"/>
        <rFont val="Consolas"/>
        <family val="3"/>
      </rPr>
      <t>VersionsRelationManager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</si>
  <si>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Rimba\Versioning\Traits\</t>
    </r>
    <r>
      <rPr>
        <sz val="11"/>
        <color rgb="FF4EC9B0"/>
        <rFont val="Consolas"/>
        <family val="3"/>
      </rPr>
      <t>HasVersions</t>
    </r>
    <r>
      <rPr>
        <sz val="11"/>
        <color rgb="FFD4D4D4"/>
        <rFont val="Consolas"/>
        <family val="3"/>
      </rPr>
      <t>;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</si>
  <si>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Filament\Facades\</t>
    </r>
    <r>
      <rPr>
        <sz val="11"/>
        <color rgb="FF4EC9B0"/>
        <rFont val="Consolas"/>
        <family val="3"/>
      </rPr>
      <t>Filament</t>
    </r>
    <r>
      <rPr>
        <sz val="11"/>
        <color rgb="FFD4D4D4"/>
        <rFont val="Consolas"/>
        <family val="3"/>
      </rPr>
      <t xml:space="preserve"> </t>
    </r>
    <r>
      <rPr>
        <sz val="11"/>
        <color rgb="FFFF7B72"/>
        <rFont val="Consolas"/>
        <family val="3"/>
      </rPr>
      <t>as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FacadesFilament</t>
    </r>
    <r>
      <rPr>
        <sz val="11"/>
        <color rgb="FFD4D4D4"/>
        <rFont val="Consolas"/>
        <family val="3"/>
      </rPr>
      <t>;</t>
    </r>
  </si>
  <si>
    <r>
      <t>FacadesFilament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serving</t>
    </r>
    <r>
      <rPr>
        <sz val="11"/>
        <color rgb="FFD4D4D4"/>
        <rFont val="Consolas"/>
        <family val="3"/>
      </rPr>
      <t>(</t>
    </r>
    <r>
      <rPr>
        <sz val="11"/>
        <color rgb="FFFF7B72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(): </t>
    </r>
    <r>
      <rPr>
        <sz val="11"/>
        <color rgb="FFFF7B72"/>
        <rFont val="Consolas"/>
        <family val="3"/>
      </rPr>
      <t>void</t>
    </r>
    <r>
      <rPr>
        <sz val="11"/>
        <color rgb="FFD4D4D4"/>
        <rFont val="Consolas"/>
        <family val="3"/>
      </rPr>
      <t xml:space="preserve"> {</t>
    </r>
  </si>
  <si>
    <r>
      <t xml:space="preserve">    </t>
    </r>
    <r>
      <rPr>
        <sz val="11"/>
        <color rgb="FFC586C0"/>
        <rFont val="Consolas"/>
        <family val="3"/>
      </rPr>
      <t>foreach</t>
    </r>
    <r>
      <rPr>
        <sz val="11"/>
        <color rgb="FFD4D4D4"/>
        <rFont val="Consolas"/>
        <family val="3"/>
      </rPr>
      <t xml:space="preserve"> (</t>
    </r>
    <r>
      <rPr>
        <sz val="11"/>
        <color rgb="FF4EC9B0"/>
        <rFont val="Consolas"/>
        <family val="3"/>
      </rPr>
      <t>FacadesFilament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getPanels</t>
    </r>
    <r>
      <rPr>
        <sz val="11"/>
        <color rgb="FFD4D4D4"/>
        <rFont val="Consolas"/>
        <family val="3"/>
      </rPr>
      <t xml:space="preserve">() as </t>
    </r>
    <r>
      <rPr>
        <sz val="11"/>
        <color rgb="FFC9D1D9"/>
        <rFont val="Consolas"/>
        <family val="3"/>
      </rPr>
      <t>$panel</t>
    </r>
    <r>
      <rPr>
        <sz val="11"/>
        <color rgb="FFD4D4D4"/>
        <rFont val="Consolas"/>
        <family val="3"/>
      </rPr>
      <t>) {</t>
    </r>
  </si>
  <si>
    <r>
      <t xml:space="preserve">        </t>
    </r>
    <r>
      <rPr>
        <sz val="11"/>
        <color rgb="FFC586C0"/>
        <rFont val="Consolas"/>
        <family val="3"/>
      </rPr>
      <t>foreach</t>
    </r>
    <r>
      <rPr>
        <sz val="11"/>
        <color rgb="FFD4D4D4"/>
        <rFont val="Consolas"/>
        <family val="3"/>
      </rPr>
      <t xml:space="preserve"> (</t>
    </r>
    <r>
      <rPr>
        <sz val="11"/>
        <color rgb="FFC9D1D9"/>
        <rFont val="Consolas"/>
        <family val="3"/>
      </rPr>
      <t>$panel</t>
    </r>
    <r>
      <rPr>
        <sz val="11"/>
        <color rgb="FFD4D4D4"/>
        <rFont val="Consolas"/>
        <family val="3"/>
      </rPr>
      <t>-&gt;</t>
    </r>
    <r>
      <rPr>
        <sz val="11"/>
        <color rgb="FFD2A8FF"/>
        <rFont val="Consolas"/>
        <family val="3"/>
      </rPr>
      <t>getResources</t>
    </r>
    <r>
      <rPr>
        <sz val="11"/>
        <color rgb="FFD4D4D4"/>
        <rFont val="Consolas"/>
        <family val="3"/>
      </rPr>
      <t xml:space="preserve">() as </t>
    </r>
    <r>
      <rPr>
        <sz val="11"/>
        <color rgb="FFC9D1D9"/>
        <rFont val="Consolas"/>
        <family val="3"/>
      </rPr>
      <t>$resourceClass</t>
    </r>
    <r>
      <rPr>
        <sz val="11"/>
        <color rgb="FFD4D4D4"/>
        <rFont val="Consolas"/>
        <family val="3"/>
      </rPr>
      <t>) {</t>
    </r>
  </si>
  <si>
    <r>
      <t xml:space="preserve">            </t>
    </r>
    <r>
      <rPr>
        <sz val="11"/>
        <color rgb="FFC9D1D9"/>
        <rFont val="Consolas"/>
        <family val="3"/>
      </rPr>
      <t>$model</t>
    </r>
    <r>
      <rPr>
        <sz val="11"/>
        <color rgb="FFD4D4D4"/>
        <rFont val="Consolas"/>
        <family val="3"/>
      </rPr>
      <t xml:space="preserve"> = </t>
    </r>
    <r>
      <rPr>
        <sz val="11"/>
        <color rgb="FFC9D1D9"/>
        <rFont val="Consolas"/>
        <family val="3"/>
      </rPr>
      <t>$resourceClass</t>
    </r>
    <r>
      <rPr>
        <sz val="11"/>
        <color rgb="FFD4D4D4"/>
        <rFont val="Consolas"/>
        <family val="3"/>
      </rPr>
      <t>::</t>
    </r>
    <r>
      <rPr>
        <sz val="11"/>
        <color rgb="FFD2A8FF"/>
        <rFont val="Consolas"/>
        <family val="3"/>
      </rPr>
      <t>getModel</t>
    </r>
    <r>
      <rPr>
        <sz val="11"/>
        <color rgb="FFD4D4D4"/>
        <rFont val="Consolas"/>
        <family val="3"/>
      </rPr>
      <t>();</t>
    </r>
  </si>
  <si>
    <r>
      <t xml:space="preserve">            </t>
    </r>
    <r>
      <rPr>
        <sz val="11"/>
        <color rgb="FF8B949E"/>
        <rFont val="Consolas"/>
        <family val="3"/>
      </rPr>
      <t>// Check if the underlying Eloquent model uses your Rimba Tree / Bites trait</t>
    </r>
  </si>
  <si>
    <r>
      <t xml:space="preserve">            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DCDCAA"/>
        <rFont val="Consolas"/>
        <family val="3"/>
      </rPr>
      <t>in_array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HasVersions</t>
    </r>
    <r>
      <rPr>
        <sz val="11"/>
        <color rgb="FFD4D4D4"/>
        <rFont val="Consolas"/>
        <family val="3"/>
      </rPr>
      <t>::</t>
    </r>
    <r>
      <rPr>
        <sz val="11"/>
        <color rgb="FFFF7B72"/>
        <rFont val="Consolas"/>
        <family val="3"/>
      </rPr>
      <t>class</t>
    </r>
    <r>
      <rPr>
        <sz val="11"/>
        <color rgb="FFD4D4D4"/>
        <rFont val="Consolas"/>
        <family val="3"/>
      </rPr>
      <t xml:space="preserve">, </t>
    </r>
    <r>
      <rPr>
        <sz val="11"/>
        <color rgb="FFD2A8FF"/>
        <rFont val="Consolas"/>
        <family val="3"/>
      </rPr>
      <t>class_uses_recursive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$model</t>
    </r>
    <r>
      <rPr>
        <sz val="11"/>
        <color rgb="FFD4D4D4"/>
        <rFont val="Consolas"/>
        <family val="3"/>
      </rPr>
      <t>))) {</t>
    </r>
  </si>
  <si>
    <t>});</t>
  </si>
  <si>
    <t>&lt;?php
declare(strict_types=1);
namespace Rimba\Versioning;
use Rimba\Base\BitesServiceProvider;
use Rimba\Versioning\Http\UI\Admin\Resources\Versions\RelationManagers\VersionsRelationManager;
use Rimba\Versioning\Traits\HasVersions;
use Filament\Facades\Filament as FacadesFilament;
class VersioningServiceProvider extends BitesServiceProvider
{
    protected string $configFile = __DIR__ . '/../config/bites.php';
    protected function bootPackage(): void
    {
        $this-&gt;loadMigrationsFrom(__DIR__.'/../database/migrations');
        FacadesFilament::serving(function (): void {
            foreach (FacadesFilament::getPanels() as $panel) {
                foreach ($panel-&gt;getResources() as $resourceClass) {
                    $model = $resourceClass::getModel();
                    // Check if the underlying Eloquent model uses your Rimba Tree / Bites trait
                    if (in_array(HasVersions::class, class_uses_recursive($model))) {
                    }
                }
            }
        });
    }
    protected function registerPackage(): void
    {
        //
    }
}</t>
  </si>
  <si>
    <r>
      <t xml:space="preserve">    </t>
    </r>
    <r>
      <rPr>
        <sz val="11"/>
        <color rgb="FF8B949E"/>
        <rFont val="Consolas"/>
        <family val="3"/>
      </rPr>
      <t>/**</t>
    </r>
  </si>
  <si>
    <r>
      <t xml:space="preserve">        </t>
    </r>
    <r>
      <rPr>
        <sz val="11"/>
        <color rgb="FFC9D1D9"/>
        <rFont val="Consolas"/>
        <family val="3"/>
      </rPr>
      <t>$commandDir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__DIR__</t>
    </r>
    <r>
      <rPr>
        <sz val="11"/>
        <color rgb="FFD4D4D4"/>
        <rFont val="Consolas"/>
        <family val="3"/>
      </rPr>
      <t xml:space="preserve"> . </t>
    </r>
    <r>
      <rPr>
        <sz val="11"/>
        <color rgb="FFA5D6FF"/>
        <rFont val="Consolas"/>
        <family val="3"/>
      </rPr>
      <t>'/Console/Commands'</t>
    </r>
    <r>
      <rPr>
        <sz val="11"/>
        <color rgb="FFD4D4D4"/>
        <rFont val="Consolas"/>
        <family val="3"/>
      </rPr>
      <t>;</t>
    </r>
  </si>
  <si>
    <r>
      <t xml:space="preserve">        </t>
    </r>
    <r>
      <rPr>
        <sz val="11"/>
        <color rgb="FFC586C0"/>
        <rFont val="Consolas"/>
        <family val="3"/>
      </rPr>
      <t>foreach</t>
    </r>
    <r>
      <rPr>
        <sz val="11"/>
        <color rgb="FFD4D4D4"/>
        <rFont val="Consolas"/>
        <family val="3"/>
      </rPr>
      <t xml:space="preserve"> (</t>
    </r>
    <r>
      <rPr>
        <sz val="11"/>
        <color rgb="FFDCDCAA"/>
        <rFont val="Consolas"/>
        <family val="3"/>
      </rPr>
      <t>glob</t>
    </r>
    <r>
      <rPr>
        <sz val="11"/>
        <color rgb="FFD4D4D4"/>
        <rFont val="Consolas"/>
        <family val="3"/>
      </rPr>
      <t>(</t>
    </r>
    <r>
      <rPr>
        <sz val="11"/>
        <color rgb="FFC9D1D9"/>
        <rFont val="Consolas"/>
        <family val="3"/>
      </rPr>
      <t>$commandDir</t>
    </r>
    <r>
      <rPr>
        <sz val="11"/>
        <color rgb="FFD4D4D4"/>
        <rFont val="Consolas"/>
        <family val="3"/>
      </rPr>
      <t xml:space="preserve"> . </t>
    </r>
    <r>
      <rPr>
        <sz val="11"/>
        <color rgb="FFA5D6FF"/>
        <rFont val="Consolas"/>
        <family val="3"/>
      </rPr>
      <t>'/*.php'</t>
    </r>
    <r>
      <rPr>
        <sz val="11"/>
        <color rgb="FFD4D4D4"/>
        <rFont val="Consolas"/>
        <family val="3"/>
      </rPr>
      <t xml:space="preserve">) as </t>
    </r>
    <r>
      <rPr>
        <sz val="11"/>
        <color rgb="FFC9D1D9"/>
        <rFont val="Consolas"/>
        <family val="3"/>
      </rPr>
      <t>$file</t>
    </r>
    <r>
      <rPr>
        <sz val="11"/>
        <color rgb="FFD4D4D4"/>
        <rFont val="Consolas"/>
        <family val="3"/>
      </rPr>
      <t>) {</t>
    </r>
  </si>
  <si>
    <r>
      <t xml:space="preserve">            </t>
    </r>
    <r>
      <rPr>
        <sz val="11"/>
        <color rgb="FFC9D1D9"/>
        <rFont val="Consolas"/>
        <family val="3"/>
      </rPr>
      <t>$class</t>
    </r>
    <r>
      <rPr>
        <sz val="11"/>
        <color rgb="FFD4D4D4"/>
        <rFont val="Consolas"/>
        <family val="3"/>
      </rPr>
      <t xml:space="preserve"> = </t>
    </r>
    <r>
      <rPr>
        <sz val="11"/>
        <color rgb="FFA5D6FF"/>
        <rFont val="Consolas"/>
        <family val="3"/>
      </rPr>
      <t>'Rimba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Sync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Console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Commands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'</t>
    </r>
    <r>
      <rPr>
        <sz val="11"/>
        <color rgb="FFD4D4D4"/>
        <rFont val="Consolas"/>
        <family val="3"/>
      </rPr>
      <t xml:space="preserve"> . </t>
    </r>
    <r>
      <rPr>
        <sz val="11"/>
        <color rgb="FFC9D1D9"/>
        <rFont val="Consolas"/>
        <family val="3"/>
      </rPr>
      <t>$className</t>
    </r>
    <r>
      <rPr>
        <sz val="11"/>
        <color rgb="FFD4D4D4"/>
        <rFont val="Consolas"/>
        <family val="3"/>
      </rPr>
      <t>;</t>
    </r>
  </si>
  <si>
    <r>
      <t xml:space="preserve">            </t>
    </r>
    <r>
      <rPr>
        <sz val="11"/>
        <color rgb="FFC9D1D9"/>
        <rFont val="Consolas"/>
        <family val="3"/>
      </rPr>
      <t>$class</t>
    </r>
    <r>
      <rPr>
        <sz val="11"/>
        <color rgb="FFD4D4D4"/>
        <rFont val="Consolas"/>
        <family val="3"/>
      </rPr>
      <t xml:space="preserve"> = </t>
    </r>
    <r>
      <rPr>
        <sz val="11"/>
        <color rgb="FFA5D6FF"/>
        <rFont val="Consolas"/>
        <family val="3"/>
      </rPr>
      <t>'Rimba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Base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Console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Commands</t>
    </r>
    <r>
      <rPr>
        <sz val="11"/>
        <color rgb="FFD7BA7D"/>
        <rFont val="Consolas"/>
        <family val="3"/>
      </rPr>
      <t>\\</t>
    </r>
    <r>
      <rPr>
        <sz val="11"/>
        <color rgb="FFA5D6FF"/>
        <rFont val="Consolas"/>
        <family val="3"/>
      </rPr>
      <t>'</t>
    </r>
    <r>
      <rPr>
        <sz val="11"/>
        <color rgb="FFD4D4D4"/>
        <rFont val="Consolas"/>
        <family val="3"/>
      </rPr>
      <t xml:space="preserve"> . </t>
    </r>
    <r>
      <rPr>
        <sz val="11"/>
        <color rgb="FFC9D1D9"/>
        <rFont val="Consolas"/>
        <family val="3"/>
      </rPr>
      <t>$className</t>
    </r>
    <r>
      <rPr>
        <sz val="11"/>
        <color rgb="FFD4D4D4"/>
        <rFont val="Consolas"/>
        <family val="3"/>
      </rPr>
      <t>;</t>
    </r>
  </si>
  <si>
    <t>{
    "name": "rimba/boleh",
    "description": "Access control layer combining roles, permissions, and policies (RBAC + ABAC).",
    "type": "library",
    "license": "MIT",
    "authors": [
        {
            "name": "BIT Ecosystem",
            "email": "bit.ecosystem@gmail.com"
        }
    ],
    "require": {
        "php": "^8.3",
        "rimba/asas": "^1.0",
        "spatie/laravel-permission": "^7.3"
    },
    "extra": {
        "laravel": {
            "providers": [
                "Rimba\\Can\\CanServiceProvider"
            ]
        }
    },
    "autoload": {
        "psr-4": {
           "Rimba\\Can\\": "src/"
        }
    },
    "minimum-stability": "alpha",
    "prefer-stable": true
}</t>
  </si>
  <si>
    <r>
      <t xml:space="preserve">    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::</t>
    </r>
    <r>
      <rPr>
        <sz val="11"/>
        <color rgb="FF79C0FF"/>
        <rFont val="Consolas"/>
        <family val="3"/>
      </rPr>
      <t>AUTH_LOGIN_FORM_AFTER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</si>
  <si>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4EC9B0"/>
        <rFont val="Consolas"/>
        <family val="3"/>
      </rPr>
      <t>PanelsRenderHook</t>
    </r>
    <r>
      <rPr>
        <sz val="11"/>
        <color rgb="FFD4D4D4"/>
        <rFont val="Consolas"/>
        <family val="3"/>
      </rPr>
      <t>::</t>
    </r>
    <r>
      <rPr>
        <sz val="11"/>
        <color rgb="FF79C0FF"/>
        <rFont val="Consolas"/>
        <family val="3"/>
      </rPr>
      <t>AUTH_REGISTER_FORM_AFTER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</si>
  <si>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FF7B72"/>
        <rFont val="Consolas"/>
        <family val="3"/>
      </rPr>
      <t>fn</t>
    </r>
    <r>
      <rPr>
        <sz val="11"/>
        <color rgb="FFD4D4D4"/>
        <rFont val="Consolas"/>
        <family val="3"/>
      </rPr>
      <t xml:space="preserve">() =&gt; </t>
    </r>
    <r>
      <rPr>
        <sz val="11"/>
        <color rgb="FFD2A8FF"/>
        <rFont val="Consolas"/>
        <family val="3"/>
      </rPr>
      <t>view</t>
    </r>
    <r>
      <rPr>
        <sz val="11"/>
        <color rgb="FFD4D4D4"/>
        <rFont val="Consolas"/>
        <family val="3"/>
      </rPr>
      <t>(</t>
    </r>
    <r>
      <rPr>
        <sz val="11"/>
        <color rgb="FFA5D6FF"/>
        <rFont val="Consolas"/>
        <family val="3"/>
      </rPr>
      <t>'panel.branding'</t>
    </r>
    <r>
      <rPr>
        <sz val="11"/>
        <color rgb="FFD4D4D4"/>
        <rFont val="Consolas"/>
        <family val="3"/>
      </rPr>
      <t>)</t>
    </r>
  </si>
  <si>
    <r>
      <t>use</t>
    </r>
    <r>
      <rPr>
        <sz val="11"/>
        <color rgb="FFD4D4D4"/>
        <rFont val="Consolas"/>
        <family val="3"/>
      </rPr>
      <t xml:space="preserve"> </t>
    </r>
    <r>
      <rPr>
        <sz val="11"/>
        <color rgb="FF79C0FF"/>
        <rFont val="Consolas"/>
        <family val="3"/>
      </rPr>
      <t>Rimba\Base\Services\</t>
    </r>
    <r>
      <rPr>
        <sz val="11"/>
        <color rgb="FF4EC9B0"/>
        <rFont val="Consolas"/>
        <family val="3"/>
      </rPr>
      <t>BitesServiceProvider</t>
    </r>
    <r>
      <rPr>
        <sz val="11"/>
        <color rgb="FFD4D4D4"/>
        <rFont val="Consolas"/>
        <family val="3"/>
      </rPr>
      <t>;</t>
    </r>
  </si>
  <si>
    <t>Pages</t>
  </si>
  <si>
    <t>vendor\rimba\jalur\src\Http\UI\Admin</t>
  </si>
  <si>
    <t>admin</t>
  </si>
  <si>
    <t>&lt;?php
declare(strict_types=1);
namespace Rimba\Base;
use Rimba\Base\Services\BitesServiceProvider;
use Illuminate\Console\Command;
use ReflectionClass;
class BaseServiceProvider extends BitesServiceProvider
{
    protected string $configFile = __DIR__ . '/../config/bites.php';
    protected function bootPackage(): void
    {
        if ($this-&gt;app-&gt;runningInConsole()) { $this-&gt;registerCommandsFromDirectory(); }
    }
    protected function registerPackage(): void
    {
        //
    }
    /**
     * Dynamically discover and boot all commands inside the package directory.
     */
    protected function registerCommandsFromDirectory()
    {
        $commandDir = __DIR__ . '/Console/Commands';
        if (! is_dir($commandDir)) {
            return;
        }
        $commands = [];
        foreach (glob($commandDir . '/*.php') as $file) {
            $className = basename($file, '.php');
            $class = 'Rimba\\Base\\Console\\Commands\\' . $className;
            if (class_exists($class) &amp;&amp; is_subclass_of($class, Command::class)) {
                $reflection = new ReflectionClass($class);
                if (! $reflection-&gt;isAbstract()) {
                    $commands[] = $class;
                }
            }
        }
        if ($commands !== []) {
            $this-&gt;commands($commands);
        }
    }
}</t>
  </si>
  <si>
    <t>&lt;?php
declare(strict_types=1);
namespace Rimba\Translate;
use Rimba\Base\Services\BitesServiceProvider;
use Filament\Support\Facades\FilamentView;
use Filament\View\PanelsRenderHook;
use Rimba\Translate\Enums\Language;
class TranslateServiceProvider extends BitesServiceProvider
{
    protected string $viewsPath = __DIR__ . '/../resources/views';
    protected string $iconsPath = __DIR__ . '/../resources/svg';
    protected function bootPackage(): void
    {
        $languages = Language::googleTranslateLanguages();
        FilamentView::registerRenderHook(
            PanelsRenderHook::USER_MENU_AFTER,
            fn() =&gt; view('bites::language-switch')
        );
        FilamentView::registerRenderHook(
            PanelsRenderHook::SIMPLE_PAGE_END,
            fn() =&gt; view('bites::language-switch')
        );
        FilamentView::registerRenderHook(
            PanelsRenderHook::FOOTER,
            fn(): string =&gt; &lt;&lt;&lt;HTML
            &lt;script&gt;
                window.googleTranslateElementInit = function () {
                    new google.translate.TranslateElement({
                        pageLanguage: 'en',
                        layout: google.translate.TranslateElement.InlineLayout.VERTICAL,
                        autoDisplay: false,
                        includedLanguages: '{$languages}'
                    }, 'google_translate_element');
                };
                window.triggerGoogleTranslate = function (langCode) {
                    const select = document.querySelector('.goog-te-combo');
                    if (! select) {
                        console.log('Google Translate select not found');
                        return;
                    }
                    select.value = langCode;
                    select.dispatchEvent(new Event('change', { bubbles: true }));
                };
            &lt;/script&gt;
            &lt;script src="https://translate.google.com/translate_a/element.js?cb=googleTranslateElementInit"&gt;&lt;/script&gt;
            HTML
        );
    }
    protected function registerPackage(): void
    {
        //
    }
}</t>
  </si>
  <si>
    <t>&lt;?php
declare(strict_types=1);
namespace Rimba\Helpfile;
use Rimba\Base\Services\BitesServiceProvider;
use Filament\Support\Facades\FilamentView;
use Filament\View\PanelsRenderHook;
use Livewire\Livewire;
use Rimba\HelpFile\Actions\GetHelpAction;
class HelpfileServiceProvider extends BitesServiceProvider
{
    protected string $viewsPath = __DIR__ . '/../resources/views';
    protected string $iconsPath = __DIR__ . '/../resources/svg';
    protected function bootPackage(): void
    {
        Livewire::component('bites.help-button', GetHelpAction::class);
        FilamentView::registerRenderHook(
            PanelsRenderHook::USER_MENU_AFTER,
            fn(): string =&gt; \Illuminate\Support\Facades\Blade::render('@livewire(\'bites.help-button\')'),
        );
        FilamentView::registerRenderHook(
            PanelsRenderHook::SIMPLE_PAGE_END,
            fn(): string =&gt; \Illuminate\Support\Facades\Blade::render('@livewire(\'bites.help-button\')'),
        );
    }
    protected function registerPackage(): void
    {
        //
    }
}</t>
  </si>
  <si>
    <t>&lt;?php
declare(strict_types=1);
namespace Rimba\Agreement;
use Rimba\Base\Services\BitesServiceProvider;
class AgreementServiceProvider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</si>
  <si>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Rimba\Attributing;
use Rimba\Base\Services\BitesServiceProvider;
use Rimba\Attributing\Macros\LockWhenFilledMacro;
class AttributingServiceProvider extends BitesServiceProvider
{
    protected string $configFile = __DIR__ . '/../config/bites.php';
    protected string $iconsPath = __DIR__ . '/../resources/svg';
    protected function bootPackage(): void
    {
        $this-&gt;loadMigrationsFrom(__DIR__.'/../database/migrations');
        LockWhenFilledMacro::register();
    }
    protected function registerPackage(): void
    {
        //
    }
}</t>
  </si>
  <si>
    <t>&lt;?php
declare(strict_types=1);
namespace Rimba\Time;
use Rimba\Base\Services\BitesServiceProvider;
use Filament\Actions\Action;
use Filament\Support\Facades\FilamentView;
use Filament\View\PanelsRenderHook;
class TimeServiceProvider extends BitesServiceProvider
{
    protected string $configFile = __DIR__ . '/../config/bites.php';
    protected string $viewsPath = __DIR__ . '/../resources/views';
    protected string $iconsPath = __DIR__ . '/../resources/svg';
    protected function bootPackage(): void
    {
        $this-&gt;loadMigrationsFrom(__DIR__.'/../database/migrations');
        FilamentView::registerRenderHook(
            PanelsRenderHook::GLOBAL_SEARCH_BEFORE,
            fn (): string =&gt; Action::make('Calendar')
                -&gt;label('Calendar')
                -&gt;iconButton()
                -&gt;badge()
                -&gt;icon('bites-calendar')
                -&gt;url(route('filament.staff.pages.calendar'))
                -&gt;toHtml(),
        );
    }
    protected function registerPackage(): void
    {
        //
    }
}</t>
  </si>
  <si>
    <t>&lt;?php
declare(strict_types=1);
namespace Rimba\Floorplan;
use Rimba\Base\Services\BitesServiceProvider;
use Filament\Actions\Action;
use Filament\Support\Facades\FilamentView;
use Filament\View\PanelsRenderHook;
class FloorplanServiceProvider extends BitesServiceProvider
{
    protected string $configFile = __DIR__ . '/../config/bites.php';
    protected string $viewsPath = __DIR__ . '/../resources/views';
    protected string $iconsPath = __DIR__ . '/../resources/svg';
    protected function bootPackage(): void
    {
        $this-&gt;loadMigrationsFrom(__DIR__.'/../database/migrations');
        FilamentView::registerRenderHook(
            PanelsRenderHook::GLOBAL_SEARCH_BEFORE,
            fn (): string =&gt; Action::make('FloorPlan')
                -&gt;label('Floor Plan')
                -&gt;iconButton()
                -&gt;badge()
                -&gt;icon('bites-location')
                -&gt;url(route('filament.staff.pages.floor-plan'))
                -&gt;toHtml(),
        );
    }
    protected function registerPackage(): void
    {
        //
    }
}</t>
  </si>
  <si>
    <t>&lt;?php
declare(strict_types=1);
namespace Rimba\Who;
use Rimba\Base\Services\BitesServiceProvider;
class WhoServiceProvider extends BitesServiceProvider
{
    protected string $configFile = __DIR__ . '/../config/bites.php';
    protected string $viewsPath = __DIR__ . '/../resources/views';
    protected string $iconsPath = __DIR__ . '/../resources/svg';
    protected function bootPackage(): void
    {
        $this-&gt;loadMigrationsFrom(__DIR__.'/../database/migrations');
        $this-&gt;publishes([__DIR__.'/../resources/assets/models' =&gt; public_path('models'),], 'assets');
        $this-&gt;loadRoutesFrom(__DIR__.'/../routes/web.php');
    }
    protected function registerPackage(): void
    {
        //
    }
}</t>
  </si>
  <si>
    <t>&lt;?php
declare(strict_types=1);
namespace Rimba\Versioning;
use Rimba\Base\Services\BitesServiceProvider;
use Rimba\Versioning\Http\UI\Admin\Resources\Versions\RelationManagers\VersionsRelationManager;
use Rimba\Versioning\Traits\HasVersions;
use Filament\Facades\Filament as FacadesFilament;
class VersioningServiceProvider extends BitesServiceProvider
{
    protected string $configFile = __DIR__ . '/../config/bites.php';
    protected function bootPackage(): void
    {
        $this-&gt;loadMigrationsFrom(__DIR__.'/../database/migrations');
        FacadesFilament::serving(function (): void {
            foreach (FacadesFilament::getPanels() as $panel) {
                foreach ($panel-&gt;getResources() as $resourceClass) {
                    $model = $resourceClass::getModel();
                    // Check if the underlying Eloquent model uses your Rimba Tree / Bites trait
                    if (in_array(HasVersions::class, class_uses_recursive($model))) {
                    }
                }
            }
        });
    }
    protected function registerPackage(): void
    {
        //
    }
}</t>
  </si>
  <si>
    <t>&lt;?php
declare(strict_types=1);
namespace Rimba\Trail;
use Rimba\Base\Services\BitesServiceProvider;
class TrailServiceProvider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</si>
  <si>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Rimba\Work;
use Rimba\Base\Services\BitesServiceProvider;
class WorkServiceProvider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</si>
  <si>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Rimba\Flow;
use Rimba\Base\Services\BitesServiceProvider;
class FlowServiceProvider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</si>
  <si>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Rimba\Menu;
use Rimba\Base\Services\BitesServiceProvider;
class MenuServiceProvider extends BitesServiceProvider
{
    protected string $configFile = __DIR__ . '/../config/bites.php';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</si>
  <si>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Rimba\Sync;
use Rimba\Base\Services\BitesServiceProvider;
class SyncServiceProvider extends BitesServiceProvider
{
    protected string $configFile = __DIR__ . '/../config/bites.php';
    protected function bootPackage(): void
    {
        $this-&gt;loadMigrationsFrom(__DIR__.'/../database/migrations');
        if ($this-&gt;app-&gt;runningInConsole()) { $this-&gt;registerCommandsFromDirectory(); }
    }
    protected function registerPackage(): void
    {
        //
    }
/**
     * Dynamically discover and boot all commands inside the package directory.
     */
    protected function registerCommandsFromDirectory()
    {
        $commandDir = __DIR__ . '/Console/Commands';
        if (! is_dir($commandDir)) {
            return;
        }
        $commands = [];
        foreach (glob($commandDir . '/*.php') as $file) {
            $className = basename($file, '.php');
            $class = 'Rimba\\Sync\\Console\\Commands\\' . $className;
            if (class_exists($class) &amp;&amp; is_subclass_of($class, Command::class)) {
                $reflection = new ReflectionClass($class);
                if (! $reflection-&gt;isAbstract()) {
                    $commands[] = $class;
                }
            }
        }
        if ($commands !== []) {
            $this-&gt;commands($commands);
        }
    }
}</t>
  </si>
  <si>
    <t>&lt;?php
declare(strict_types=1);
namespace Rimba\Branding;
use Rimba\Base\Services\BitesServiceProvider;
use Filament\Support\Facades\FilamentView;
use Filament\View\PanelsRenderHook;
class BrandingServiceProvider extends BitesServiceProvider
{
    protected string $viewsPath = __DIR__ . '/../resources/views';
    protected function bootPackage(): void
    {
        FilamentView::registerRenderHook(
            PanelsRenderHook::AUTH_LOGIN_FORM_AFTER,
            fn() =&gt; view('panel.branding')
        );
        FilamentView::registerRenderHook(
            PanelsRenderHook::AUTH_REGISTER_FORM_AFTER,
            fn() =&gt; view('panel.branding')
        );
    }
    protected function registerPackage(): void
    {
        //
    }
}</t>
  </si>
  <si>
    <t>&lt;?php
declare(strict_types=1);
namespace Rimba\Organization;
use Rimba\Base\Services\BitesServiceProvider;
class OrganizationServiceProvider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</si>
  <si>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Rimba\People;
use Rimba\Base\Services\BitesServiceProvider;
class PeopleServiceProvider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</si>
  <si>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Rimba\Position;
use Rimba\Base\Services\BitesServiceProvider;
class PositionServiceProvider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</si>
  <si>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static</t>
    </r>
    <r>
      <rPr>
        <sz val="11"/>
        <color rgb="FFD4D4D4"/>
        <rFont val="Consolas"/>
        <family val="3"/>
      </rPr>
      <t xml:space="preserve">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>|</t>
    </r>
    <r>
      <rPr>
        <sz val="11"/>
        <color rgb="FF4EC9B0"/>
        <rFont val="Consolas"/>
        <family val="3"/>
      </rPr>
      <t>UnitEnum</t>
    </r>
    <r>
      <rPr>
        <sz val="11"/>
        <color rgb="FFD4D4D4"/>
        <rFont val="Consolas"/>
        <family val="3"/>
      </rPr>
      <t>|</t>
    </r>
    <r>
      <rPr>
        <sz val="11"/>
        <color rgb="FFFF7B72"/>
        <rFont val="Consolas"/>
        <family val="3"/>
      </rPr>
      <t>null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$navigationGroup</t>
    </r>
    <r>
      <rPr>
        <sz val="11"/>
        <color rgb="FFD4D4D4"/>
        <rFont val="Consolas"/>
        <family val="3"/>
      </rPr>
      <t xml:space="preserve"> =</t>
    </r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</si>
  <si>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static</t>
    </r>
    <r>
      <rPr>
        <sz val="11"/>
        <color rgb="FFD4D4D4"/>
        <rFont val="Consolas"/>
        <family val="3"/>
      </rPr>
      <t xml:space="preserve">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>|</t>
    </r>
    <r>
      <rPr>
        <sz val="11"/>
        <color rgb="FF4EC9B0"/>
        <rFont val="Consolas"/>
        <family val="3"/>
      </rPr>
      <t>BackedEnum</t>
    </r>
    <r>
      <rPr>
        <sz val="11"/>
        <color rgb="FFD4D4D4"/>
        <rFont val="Consolas"/>
        <family val="3"/>
      </rPr>
      <t>|</t>
    </r>
    <r>
      <rPr>
        <sz val="11"/>
        <color rgb="FFFF7B72"/>
        <rFont val="Consolas"/>
        <family val="3"/>
      </rPr>
      <t>null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$navigationIcon</t>
    </r>
    <r>
      <rPr>
        <sz val="11"/>
        <color rgb="FFD4D4D4"/>
        <rFont val="Consolas"/>
        <family val="3"/>
      </rPr>
      <t xml:space="preserve"> =</t>
    </r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</si>
  <si>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static</t>
    </r>
    <r>
      <rPr>
        <sz val="11"/>
        <color rgb="FFD4D4D4"/>
        <rFont val="Consolas"/>
        <family val="3"/>
      </rPr>
      <t xml:space="preserve"> ?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$navigationLabel</t>
    </r>
    <r>
      <rPr>
        <sz val="11"/>
        <color rgb="FFD4D4D4"/>
        <rFont val="Consolas"/>
        <family val="3"/>
      </rPr>
      <t xml:space="preserve"> =</t>
    </r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</si>
  <si>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static</t>
    </r>
    <r>
      <rPr>
        <sz val="11"/>
        <color rgb="FFD4D4D4"/>
        <rFont val="Consolas"/>
        <family val="3"/>
      </rPr>
      <t xml:space="preserve"> ?</t>
    </r>
    <r>
      <rPr>
        <sz val="11"/>
        <color rgb="FFFF7B72"/>
        <rFont val="Consolas"/>
        <family val="3"/>
      </rPr>
      <t>int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$navigationSort</t>
    </r>
    <r>
      <rPr>
        <sz val="11"/>
        <color rgb="FFD4D4D4"/>
        <rFont val="Consolas"/>
        <family val="3"/>
      </rPr>
      <t xml:space="preserve"> =</t>
    </r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</si>
  <si>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static</t>
    </r>
    <r>
      <rPr>
        <sz val="11"/>
        <color rgb="FFD4D4D4"/>
        <rFont val="Consolas"/>
        <family val="3"/>
      </rPr>
      <t xml:space="preserve"> ?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$title</t>
    </r>
    <r>
      <rPr>
        <sz val="11"/>
        <color rgb="FFD4D4D4"/>
        <rFont val="Consolas"/>
        <family val="3"/>
      </rPr>
      <t xml:space="preserve"> =</t>
    </r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</si>
  <si>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?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$subheading</t>
    </r>
    <r>
      <rPr>
        <sz val="11"/>
        <color rgb="FFD4D4D4"/>
        <rFont val="Consolas"/>
        <family val="3"/>
      </rPr>
      <t xml:space="preserve"> =</t>
    </r>
  </si>
  <si>
    <r>
      <t xml:space="preserve">    </t>
    </r>
    <r>
      <rPr>
        <sz val="11"/>
        <color rgb="FF569CD6"/>
        <rFont val="Consolas"/>
        <family val="3"/>
      </rPr>
      <t>protected</t>
    </r>
    <r>
      <rPr>
        <sz val="11"/>
        <color rgb="FFD4D4D4"/>
        <rFont val="Consolas"/>
        <family val="3"/>
      </rPr>
      <t xml:space="preserve"> </t>
    </r>
    <r>
      <rPr>
        <sz val="11"/>
        <color rgb="FFFF7B72"/>
        <rFont val="Consolas"/>
        <family val="3"/>
      </rPr>
      <t>string</t>
    </r>
    <r>
      <rPr>
        <sz val="11"/>
        <color rgb="FFD4D4D4"/>
        <rFont val="Consolas"/>
        <family val="3"/>
      </rPr>
      <t xml:space="preserve"> </t>
    </r>
    <r>
      <rPr>
        <sz val="11"/>
        <color rgb="FFC9D1D9"/>
        <rFont val="Consolas"/>
        <family val="3"/>
      </rPr>
      <t>$view</t>
    </r>
    <r>
      <rPr>
        <sz val="11"/>
        <color rgb="FFD4D4D4"/>
        <rFont val="Consolas"/>
        <family val="3"/>
      </rPr>
      <t xml:space="preserve"> =</t>
    </r>
  </si>
  <si>
    <t>class</t>
  </si>
  <si>
    <t>namespace</t>
  </si>
  <si>
    <t>naviGrp</t>
  </si>
  <si>
    <t>naviIcon</t>
  </si>
  <si>
    <t>NaviLabel</t>
  </si>
  <si>
    <t>NaviSort</t>
  </si>
  <si>
    <t>Title</t>
  </si>
  <si>
    <t>SubHead</t>
  </si>
  <si>
    <t>View</t>
  </si>
  <si>
    <t>&lt;?php
declare(strict_types=1);
namespace Rimba\Can;
use Rimba\Base\Services\BitesServiceProvider;
class CanServiceProvider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</si>
  <si>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Rimba\Ldap;
use Rimba\Base\Services\BitesServiceProvider;
class LdapServiceProvider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</si>
  <si>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Rimba\Idp;
use Rimba\Base\Services\BitesServiceProvider;
class IdpServiceProvider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</si>
  <si>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Rimba\Dms;
use Rimba\Base\Services\BitesServiceProvider;
class DmsServiceProvider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</si>
  <si>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Rimba\Lms;
use Rimba\Base\Services\BitesServiceProvider;
class LmsServiceProvider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</si>
  <si>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Rimba\Hrm;
use Rimba\Base\Services\BitesServiceProvider;
class HrmServiceProvider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</si>
  <si>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Rimba\Tos;
use Rimba\Base\Services\BitesServiceProvider;
class TosServiceProvider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</si>
  <si>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Rimba\Lcs;
use Rimba\Base\Services\BitesServiceProvider;
class LcsServiceProvider extends BitesServiceProvider
{
    protected function bootPackage(): void
    {
        $this-&gt;loadMigrationsFrom(__DIR__.'/../database/migrations');
        //
    }
    protected function registerPackage(): void
    {
        //
    }
}</t>
  </si>
  <si>
    <t>&lt;?php
declare(strict_types=1);
namespace Rimba\Eam;
use Rimba\Base\Services\BitesServiceProvider;
class EamServiceProvider extends BitesServiceProvider
{
    protected function bootPackage(): void
    {
        $this-&gt;loadMigrationsFrom(__DIR__.'/../database/migrations');
        //
    }
    protected function registerPackage(): void
    {
        //
    }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</si>
</sst>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BBBEBF"/>
      <name val="Consolas"/>
      <family val="3"/>
    </font>
    <font>
      <sz val="11"/>
      <color rgb="FF7EE787"/>
      <name val="Consolas"/>
      <family val="3"/>
    </font>
    <font>
      <sz val="11"/>
      <color rgb="FFA5D6FF"/>
      <name val="Consolas"/>
      <family val="3"/>
    </font>
    <font>
      <sz val="11"/>
      <color rgb="FFD7BA7D"/>
      <name val="Consolas"/>
      <family val="3"/>
    </font>
    <font>
      <sz val="11"/>
      <color rgb="FF569CD6"/>
      <name val="Consolas"/>
      <family val="3"/>
    </font>
    <font>
      <sz val="8"/>
      <name val="Aptos Narrow"/>
      <family val="2"/>
      <scheme val="minor"/>
    </font>
    <font>
      <sz val="11"/>
      <color rgb="FFC586C0"/>
      <name val="Consolas"/>
      <family val="3"/>
    </font>
    <font>
      <sz val="11"/>
      <color rgb="FFD4D4D4"/>
      <name val="Consolas"/>
      <family val="3"/>
    </font>
    <font>
      <sz val="11"/>
      <color rgb="FF79C0FF"/>
      <name val="Consolas"/>
      <family val="3"/>
    </font>
    <font>
      <sz val="11"/>
      <color rgb="FFFF7B72"/>
      <name val="Consolas"/>
      <family val="3"/>
    </font>
    <font>
      <sz val="11"/>
      <color rgb="FF4EC9B0"/>
      <name val="Consolas"/>
      <family val="3"/>
    </font>
    <font>
      <sz val="11"/>
      <color rgb="FFC9D1D9"/>
      <name val="Consolas"/>
      <family val="3"/>
    </font>
    <font>
      <sz val="11"/>
      <color rgb="FFD2A8FF"/>
      <name val="Consolas"/>
      <family val="3"/>
    </font>
    <font>
      <sz val="11"/>
      <color rgb="FF808080"/>
      <name val="Consolas"/>
      <family val="3"/>
    </font>
    <font>
      <sz val="11"/>
      <color rgb="FF9CDCFE"/>
      <name val="Consolas"/>
      <family val="3"/>
    </font>
    <font>
      <sz val="11"/>
      <color rgb="FF8B949E"/>
      <name val="Consolas"/>
      <family val="3"/>
    </font>
    <font>
      <sz val="11"/>
      <color rgb="FFDCDCAA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3">
    <xf numFmtId="0" fontId="0" fillId="0" borderId="0" xfId="0"/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0" xfId="1" applyAlignment="1"/>
    <xf numFmtId="0" fontId="2" fillId="3" borderId="0" xfId="2" applyAlignment="1"/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3" fillId="0" borderId="0" xfId="0" applyFont="1"/>
    <xf numFmtId="0" fontId="12" fillId="0" borderId="0" xfId="0" applyFont="1" applyAlignment="1">
      <alignment vertical="center"/>
    </xf>
    <xf numFmtId="0" fontId="0" fillId="7" borderId="0" xfId="0" applyFill="1"/>
    <xf numFmtId="0" fontId="19" fillId="0" borderId="0" xfId="0" applyFont="1" applyAlignment="1">
      <alignment vertical="center"/>
    </xf>
    <xf numFmtId="0" fontId="0" fillId="4" borderId="0" xfId="0" applyFill="1" applyAlignment="1"/>
    <xf numFmtId="0" fontId="0" fillId="0" borderId="0" xfId="0" applyAlignment="1"/>
  </cellXfs>
  <cellStyles count="3">
    <cellStyle name="Bad" xfId="2" builtinId="27"/>
    <cellStyle name="Good" xfId="1" builtinId="26"/>
    <cellStyle name="Normal" xfId="0" builtinId="0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295275</xdr:colOff>
      <xdr:row>1</xdr:row>
      <xdr:rowOff>57150</xdr:rowOff>
    </xdr:from>
    <xdr:to>
      <xdr:col>4</xdr:col>
      <xdr:colOff>1695450</xdr:colOff>
      <xdr:row>3</xdr:row>
      <xdr:rowOff>114300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C5603-112C-F8C3-7B07-98689D4E0E7F}"/>
            </a:ext>
          </a:extLst>
        </xdr:cNvPr>
        <xdr:cNvSpPr/>
      </xdr:nvSpPr>
      <xdr:spPr>
        <a:xfrm>
          <a:off x="3162300" y="247650"/>
          <a:ext cx="1400175" cy="4381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  <xdr:twoCellAnchor>
    <xdr:from>
      <xdr:col>8</xdr:col>
      <xdr:colOff>438150</xdr:colOff>
      <xdr:row>0</xdr:row>
      <xdr:rowOff>85725</xdr:rowOff>
    </xdr:from>
    <xdr:to>
      <xdr:col>11</xdr:col>
      <xdr:colOff>152400</xdr:colOff>
      <xdr:row>3</xdr:row>
      <xdr:rowOff>47625</xdr:rowOff>
    </xdr:to>
    <xdr:sp macro="[0]!Macro4" textlink="">
      <xdr:nvSpPr>
        <xdr:cNvPr id="3" name="Oval 2">
          <a:extLst>
            <a:ext uri="{FF2B5EF4-FFF2-40B4-BE49-F238E27FC236}">
              <a16:creationId xmlns:a16="http://schemas.microsoft.com/office/drawing/2014/main" id="{6AA2BF02-D0D6-7D0A-2FCB-9646C5138ACA}"/>
            </a:ext>
          </a:extLst>
        </xdr:cNvPr>
        <xdr:cNvSpPr/>
      </xdr:nvSpPr>
      <xdr:spPr>
        <a:xfrm>
          <a:off x="16221075" y="85725"/>
          <a:ext cx="1466850" cy="533400"/>
        </a:xfrm>
        <a:prstGeom prst="ellipse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895350</xdr:colOff>
      <xdr:row>4</xdr:row>
      <xdr:rowOff>180975</xdr:rowOff>
    </xdr:from>
    <xdr:to>
      <xdr:col>1</xdr:col>
      <xdr:colOff>2266950</xdr:colOff>
      <xdr:row>8</xdr:row>
      <xdr:rowOff>95250</xdr:rowOff>
    </xdr:to>
    <xdr:sp macro="[0]!Macro3" textlink="">
      <xdr:nvSpPr>
        <xdr:cNvPr id="2" name="Oval 1">
          <a:extLst>
            <a:ext uri="{FF2B5EF4-FFF2-40B4-BE49-F238E27FC236}">
              <a16:creationId xmlns:a16="http://schemas.microsoft.com/office/drawing/2014/main" id="{B7688037-5E6B-CA29-1CBE-C10ED12B6837}"/>
            </a:ext>
          </a:extLst>
        </xdr:cNvPr>
        <xdr:cNvSpPr/>
      </xdr:nvSpPr>
      <xdr:spPr>
        <a:xfrm>
          <a:off x="6172200" y="942975"/>
          <a:ext cx="1371600" cy="6762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866775</xdr:colOff>
      <xdr:row>10</xdr:row>
      <xdr:rowOff>95250</xdr:rowOff>
    </xdr:from>
    <xdr:to>
      <xdr:col>1</xdr:col>
      <xdr:colOff>2238375</xdr:colOff>
      <xdr:row>14</xdr:row>
      <xdr:rowOff>9525</xdr:rowOff>
    </xdr:to>
    <xdr:sp macro="[0]!listClasses" textlink="">
      <xdr:nvSpPr>
        <xdr:cNvPr id="5" name="Oval 4">
          <a:extLst>
            <a:ext uri="{FF2B5EF4-FFF2-40B4-BE49-F238E27FC236}">
              <a16:creationId xmlns:a16="http://schemas.microsoft.com/office/drawing/2014/main" id="{A777D3AF-CC56-46B0-A3EE-14359E2151CA}"/>
            </a:ext>
          </a:extLst>
        </xdr:cNvPr>
        <xdr:cNvSpPr/>
      </xdr:nvSpPr>
      <xdr:spPr>
        <a:xfrm>
          <a:off x="6143625" y="2000250"/>
          <a:ext cx="1371600" cy="676275"/>
        </a:xfrm>
        <a:prstGeom prst="ellipse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57D8-5CD8-4201-A45E-303592340D64}">
  <sheetPr codeName="Sheet1"/>
  <dimension ref="A1:V34"/>
  <sheetViews>
    <sheetView tabSelected="1" workbookViewId="0">
      <selection sqref="A1:XFD1048576"/>
    </sheetView>
  </sheetViews>
  <sheetFormatPr defaultRowHeight="15" x14ac:dyDescent="0.25"/>
  <cols>
    <col min="1" max="1" width="6.28515625" style="22" bestFit="1" customWidth="1"/>
    <col min="2" max="2" width="12.140625" style="22" bestFit="1" customWidth="1"/>
    <col min="3" max="3" width="12.28515625" style="22" bestFit="1" customWidth="1"/>
    <col min="4" max="4" width="12.28515625" style="22" customWidth="1"/>
    <col min="5" max="5" width="107.140625" style="22" bestFit="1" customWidth="1"/>
    <col min="6" max="6" width="48.5703125" style="22" bestFit="1" customWidth="1"/>
    <col min="7" max="7" width="28.85546875" style="22" bestFit="1" customWidth="1"/>
    <col min="8" max="9" width="9.140625" style="22"/>
    <col min="10" max="10" width="4.42578125" style="5" bestFit="1" customWidth="1"/>
    <col min="11" max="11" width="12.7109375" style="5" customWidth="1"/>
    <col min="12" max="12" width="12" style="5" bestFit="1" customWidth="1"/>
    <col min="13" max="13" width="12.140625" style="5" bestFit="1" customWidth="1"/>
    <col min="14" max="19" width="9.140625" style="5"/>
    <col min="20" max="20" width="9.140625" style="22"/>
    <col min="21" max="21" width="64.28515625" style="22" customWidth="1"/>
    <col min="22" max="22" width="89.42578125" style="22" bestFit="1" customWidth="1"/>
    <col min="23" max="16384" width="9.140625" style="22"/>
  </cols>
  <sheetData>
    <row r="1" spans="1:22" x14ac:dyDescent="0.25">
      <c r="A1" s="21" t="s">
        <v>41</v>
      </c>
      <c r="B1" s="22" t="s">
        <v>90</v>
      </c>
      <c r="C1" s="22" t="s">
        <v>40</v>
      </c>
      <c r="D1" s="22" t="s">
        <v>81</v>
      </c>
      <c r="E1" s="22" t="s">
        <v>42</v>
      </c>
      <c r="F1" s="22" t="s">
        <v>43</v>
      </c>
      <c r="G1" s="22" t="s">
        <v>45</v>
      </c>
    </row>
    <row r="2" spans="1:22" x14ac:dyDescent="0.25">
      <c r="A2" s="21"/>
      <c r="C2" s="6" t="s">
        <v>83</v>
      </c>
      <c r="D2" s="2" t="s">
        <v>88</v>
      </c>
    </row>
    <row r="3" spans="1:22" x14ac:dyDescent="0.25">
      <c r="A3" s="21"/>
      <c r="C3" s="6" t="s">
        <v>84</v>
      </c>
      <c r="D3" s="2" t="s">
        <v>85</v>
      </c>
    </row>
    <row r="4" spans="1:22" x14ac:dyDescent="0.25">
      <c r="A4" s="21"/>
      <c r="C4" s="6" t="s">
        <v>86</v>
      </c>
      <c r="D4" s="2" t="s">
        <v>87</v>
      </c>
    </row>
    <row r="5" spans="1:22" x14ac:dyDescent="0.25">
      <c r="A5" s="22" t="s">
        <v>3</v>
      </c>
      <c r="B5" s="22" t="s">
        <v>24</v>
      </c>
      <c r="C5" s="22" t="str">
        <f t="shared" ref="C5:C31" si="0">$A$1&amp;"/"&amp;A5</f>
        <v>rimba/asas</v>
      </c>
      <c r="D5" s="22" t="s">
        <v>82</v>
      </c>
      <c r="E5" s="22" t="s">
        <v>48</v>
      </c>
      <c r="F5" s="22" t="str">
        <f t="shared" ref="F5:F31" si="1">CONCATENATE(CHAR(34),PROPER($A$1),"\\",PROPER(B5),"\\",PROPER(B5),"ServiceProvider",CHAR(34))</f>
        <v>"Rimba\\Base\\BaseServiceProvider"</v>
      </c>
      <c r="G5" s="22" t="str">
        <f t="shared" ref="G5:G31" si="2">CONCATENATE(CHAR(34),PROPER($A$1),"\\",PROPER(B5),"\\",CHAR(34),": ",CHAR(34),"src/",CHAR(34))</f>
        <v>"Rimba\\Base\\": "src/"</v>
      </c>
      <c r="I5" s="22" t="str">
        <f t="shared" ref="I5:I31" si="3">B5&amp;"-"&amp;C5</f>
        <v>base-rimba/asas</v>
      </c>
      <c r="J5" s="6" t="s">
        <v>83</v>
      </c>
      <c r="K5" s="6" t="s">
        <v>84</v>
      </c>
      <c r="T5" s="22" t="s">
        <v>91</v>
      </c>
      <c r="V5" s="1"/>
    </row>
    <row r="6" spans="1:22" x14ac:dyDescent="0.25">
      <c r="A6" s="22" t="s">
        <v>9</v>
      </c>
      <c r="B6" s="22" t="s">
        <v>29</v>
      </c>
      <c r="C6" s="22" t="str">
        <f t="shared" si="0"/>
        <v>rimba/citra</v>
      </c>
      <c r="D6" s="22" t="s">
        <v>82</v>
      </c>
      <c r="E6" s="22" t="s">
        <v>52</v>
      </c>
      <c r="F6" s="22" t="str">
        <f t="shared" si="1"/>
        <v>"Rimba\\Branding\\BrandingServiceProvider"</v>
      </c>
      <c r="G6" s="22" t="str">
        <f t="shared" si="2"/>
        <v>"Rimba\\Branding\\": "src/"</v>
      </c>
      <c r="I6" s="22" t="str">
        <f t="shared" si="3"/>
        <v>branding-rimba/citra</v>
      </c>
      <c r="J6" s="6" t="s">
        <v>83</v>
      </c>
      <c r="K6" s="22" t="s">
        <v>89</v>
      </c>
      <c r="T6" s="22" t="s">
        <v>92</v>
      </c>
      <c r="V6" s="1"/>
    </row>
    <row r="7" spans="1:22" x14ac:dyDescent="0.25">
      <c r="A7" s="22" t="s">
        <v>4</v>
      </c>
      <c r="B7" s="22" t="s">
        <v>44</v>
      </c>
      <c r="C7" s="22" t="str">
        <f t="shared" si="0"/>
        <v>rimba/tutur</v>
      </c>
      <c r="D7" s="22" t="s">
        <v>82</v>
      </c>
      <c r="E7" s="22" t="s">
        <v>47</v>
      </c>
      <c r="F7" s="22" t="str">
        <f t="shared" si="1"/>
        <v>"Rimba\\Translate\\TranslateServiceProvider"</v>
      </c>
      <c r="G7" s="22" t="str">
        <f t="shared" si="2"/>
        <v>"Rimba\\Translate\\": "src/"</v>
      </c>
      <c r="I7" s="22" t="str">
        <f t="shared" si="3"/>
        <v>translate-rimba/tutur</v>
      </c>
      <c r="J7" s="6" t="s">
        <v>83</v>
      </c>
      <c r="K7" s="22" t="s">
        <v>89</v>
      </c>
      <c r="T7" s="22" t="s">
        <v>93</v>
      </c>
      <c r="V7" s="1"/>
    </row>
    <row r="8" spans="1:22" x14ac:dyDescent="0.25">
      <c r="A8" s="22" t="s">
        <v>5</v>
      </c>
      <c r="B8" s="22" t="s">
        <v>25</v>
      </c>
      <c r="C8" s="22" t="str">
        <f t="shared" si="0"/>
        <v>rimba/bantu</v>
      </c>
      <c r="D8" s="22" t="s">
        <v>82</v>
      </c>
      <c r="E8" s="22" t="s">
        <v>46</v>
      </c>
      <c r="F8" s="22" t="str">
        <f t="shared" si="1"/>
        <v>"Rimba\\Helpfile\\HelpfileServiceProvider"</v>
      </c>
      <c r="G8" s="22" t="str">
        <f t="shared" si="2"/>
        <v>"Rimba\\Helpfile\\": "src/"</v>
      </c>
      <c r="I8" s="22" t="str">
        <f t="shared" si="3"/>
        <v>helpfile-rimba/bantu</v>
      </c>
      <c r="J8" s="6" t="s">
        <v>83</v>
      </c>
      <c r="K8" s="22" t="s">
        <v>89</v>
      </c>
      <c r="T8" s="22" t="s">
        <v>94</v>
      </c>
      <c r="V8" s="1"/>
    </row>
    <row r="9" spans="1:22" x14ac:dyDescent="0.25">
      <c r="A9" s="22" t="s">
        <v>6</v>
      </c>
      <c r="B9" s="22" t="s">
        <v>26</v>
      </c>
      <c r="C9" s="22" t="str">
        <f t="shared" si="0"/>
        <v>rimba/pihak</v>
      </c>
      <c r="D9" s="22" t="s">
        <v>82</v>
      </c>
      <c r="E9" s="22" t="s">
        <v>51</v>
      </c>
      <c r="F9" s="22" t="str">
        <f t="shared" si="1"/>
        <v>"Rimba\\Organization\\OrganizationServiceProvider"</v>
      </c>
      <c r="G9" s="22" t="str">
        <f t="shared" si="2"/>
        <v>"Rimba\\Organization\\": "src/"</v>
      </c>
      <c r="I9" s="22" t="str">
        <f t="shared" si="3"/>
        <v>organization-rimba/pihak</v>
      </c>
      <c r="J9" s="6" t="s">
        <v>83</v>
      </c>
      <c r="K9" s="22" t="s">
        <v>89</v>
      </c>
      <c r="T9" s="22" t="s">
        <v>95</v>
      </c>
      <c r="V9" s="1"/>
    </row>
    <row r="10" spans="1:22" x14ac:dyDescent="0.25">
      <c r="A10" s="22" t="s">
        <v>7</v>
      </c>
      <c r="B10" s="22" t="s">
        <v>27</v>
      </c>
      <c r="C10" s="22" t="str">
        <f t="shared" si="0"/>
        <v>rimba/orang</v>
      </c>
      <c r="D10" s="22" t="s">
        <v>82</v>
      </c>
      <c r="E10" s="22" t="s">
        <v>50</v>
      </c>
      <c r="F10" s="22" t="str">
        <f t="shared" si="1"/>
        <v>"Rimba\\People\\PeopleServiceProvider"</v>
      </c>
      <c r="G10" s="22" t="str">
        <f t="shared" si="2"/>
        <v>"Rimba\\People\\": "src/"</v>
      </c>
      <c r="I10" s="22" t="str">
        <f t="shared" si="3"/>
        <v>people-rimba/orang</v>
      </c>
      <c r="J10" s="6" t="s">
        <v>83</v>
      </c>
      <c r="K10" s="22" t="s">
        <v>89</v>
      </c>
      <c r="T10" s="22" t="s">
        <v>96</v>
      </c>
      <c r="V10" s="1"/>
    </row>
    <row r="11" spans="1:22" x14ac:dyDescent="0.25">
      <c r="A11" s="22" t="s">
        <v>8</v>
      </c>
      <c r="B11" s="22" t="s">
        <v>28</v>
      </c>
      <c r="C11" s="22" t="str">
        <f t="shared" si="0"/>
        <v>rimba/jawat</v>
      </c>
      <c r="D11" s="22" t="s">
        <v>82</v>
      </c>
      <c r="E11" s="22" t="s">
        <v>49</v>
      </c>
      <c r="F11" s="22" t="str">
        <f t="shared" si="1"/>
        <v>"Rimba\\Position\\PositionServiceProvider"</v>
      </c>
      <c r="G11" s="22" t="str">
        <f t="shared" si="2"/>
        <v>"Rimba\\Position\\": "src/"</v>
      </c>
      <c r="I11" s="22" t="str">
        <f t="shared" si="3"/>
        <v>position-rimba/jawat</v>
      </c>
      <c r="J11" s="6" t="s">
        <v>83</v>
      </c>
      <c r="K11" s="22" t="s">
        <v>89</v>
      </c>
      <c r="T11" s="22" t="s">
        <v>97</v>
      </c>
      <c r="V11" s="1"/>
    </row>
    <row r="12" spans="1:22" x14ac:dyDescent="0.25">
      <c r="A12" s="22" t="s">
        <v>10</v>
      </c>
      <c r="B12" s="22" t="s">
        <v>30</v>
      </c>
      <c r="C12" s="22" t="str">
        <f t="shared" si="0"/>
        <v>rimba/janji</v>
      </c>
      <c r="D12" s="22" t="s">
        <v>82</v>
      </c>
      <c r="E12" s="22" t="s">
        <v>53</v>
      </c>
      <c r="F12" s="22" t="str">
        <f t="shared" si="1"/>
        <v>"Rimba\\Agreement\\AgreementServiceProvider"</v>
      </c>
      <c r="G12" s="22" t="str">
        <f t="shared" si="2"/>
        <v>"Rimba\\Agreement\\": "src/"</v>
      </c>
      <c r="I12" s="22" t="str">
        <f t="shared" si="3"/>
        <v>agreement-rimba/janji</v>
      </c>
      <c r="J12" s="6" t="s">
        <v>83</v>
      </c>
      <c r="K12" s="22" t="s">
        <v>89</v>
      </c>
      <c r="L12" s="22" t="s">
        <v>233</v>
      </c>
      <c r="T12" s="22" t="s">
        <v>234</v>
      </c>
      <c r="V12" s="1"/>
    </row>
    <row r="13" spans="1:22" x14ac:dyDescent="0.25">
      <c r="A13" s="22" t="s">
        <v>11</v>
      </c>
      <c r="B13" s="22" t="s">
        <v>31</v>
      </c>
      <c r="C13" s="22" t="str">
        <f t="shared" si="0"/>
        <v>rimba/sifat</v>
      </c>
      <c r="D13" s="22" t="s">
        <v>82</v>
      </c>
      <c r="E13" s="22" t="s">
        <v>62</v>
      </c>
      <c r="F13" s="22" t="str">
        <f t="shared" si="1"/>
        <v>"Rimba\\Attributing\\AttributingServiceProvider"</v>
      </c>
      <c r="G13" s="22" t="str">
        <f t="shared" si="2"/>
        <v>"Rimba\\Attributing\\": "src/"</v>
      </c>
      <c r="I13" s="22" t="str">
        <f t="shared" si="3"/>
        <v>attributing-rimba/sifat</v>
      </c>
      <c r="J13" s="6" t="s">
        <v>83</v>
      </c>
      <c r="K13" s="22" t="s">
        <v>89</v>
      </c>
      <c r="T13" s="22" t="s">
        <v>98</v>
      </c>
      <c r="V13" s="1"/>
    </row>
    <row r="14" spans="1:22" x14ac:dyDescent="0.25">
      <c r="A14" s="22" t="s">
        <v>12</v>
      </c>
      <c r="B14" s="22" t="s">
        <v>32</v>
      </c>
      <c r="C14" s="22" t="str">
        <f t="shared" si="0"/>
        <v>rimba/waktu</v>
      </c>
      <c r="D14" s="22" t="s">
        <v>82</v>
      </c>
      <c r="E14" s="22" t="s">
        <v>56</v>
      </c>
      <c r="F14" s="22" t="str">
        <f t="shared" si="1"/>
        <v>"Rimba\\Time\\TimeServiceProvider"</v>
      </c>
      <c r="G14" s="22" t="str">
        <f t="shared" si="2"/>
        <v>"Rimba\\Time\\": "src/"</v>
      </c>
      <c r="I14" s="22" t="str">
        <f t="shared" si="3"/>
        <v>time-rimba/waktu</v>
      </c>
      <c r="J14" s="6" t="s">
        <v>83</v>
      </c>
      <c r="K14" s="22" t="s">
        <v>89</v>
      </c>
      <c r="L14" s="22" t="s">
        <v>237</v>
      </c>
      <c r="M14" s="22" t="s">
        <v>233</v>
      </c>
      <c r="T14" s="22" t="s">
        <v>412</v>
      </c>
      <c r="V14" s="1"/>
    </row>
    <row r="15" spans="1:22" x14ac:dyDescent="0.25">
      <c r="A15" s="22" t="s">
        <v>13</v>
      </c>
      <c r="B15" s="22" t="s">
        <v>33</v>
      </c>
      <c r="C15" s="22" t="str">
        <f t="shared" si="0"/>
        <v>rimba/pelan</v>
      </c>
      <c r="D15" s="22" t="s">
        <v>82</v>
      </c>
      <c r="E15" s="22" t="s">
        <v>55</v>
      </c>
      <c r="F15" s="22" t="str">
        <f t="shared" si="1"/>
        <v>"Rimba\\Floorplan\\FloorplanServiceProvider"</v>
      </c>
      <c r="G15" s="22" t="str">
        <f t="shared" si="2"/>
        <v>"Rimba\\Floorplan\\": "src/"</v>
      </c>
      <c r="I15" s="22" t="str">
        <f t="shared" si="3"/>
        <v>floorplan-rimba/pelan</v>
      </c>
      <c r="J15" s="6" t="s">
        <v>83</v>
      </c>
      <c r="K15" s="22" t="s">
        <v>89</v>
      </c>
      <c r="L15" s="22" t="s">
        <v>233</v>
      </c>
      <c r="T15" s="22" t="s">
        <v>241</v>
      </c>
      <c r="V15" s="1"/>
    </row>
    <row r="16" spans="1:22" x14ac:dyDescent="0.25">
      <c r="A16" s="22" t="s">
        <v>14</v>
      </c>
      <c r="B16" s="22" t="s">
        <v>34</v>
      </c>
      <c r="C16" s="22" t="str">
        <f t="shared" si="0"/>
        <v>rimba/siapa</v>
      </c>
      <c r="D16" s="22" t="s">
        <v>82</v>
      </c>
      <c r="E16" s="22" t="s">
        <v>63</v>
      </c>
      <c r="F16" s="22" t="str">
        <f t="shared" si="1"/>
        <v>"Rimba\\Who\\WhoServiceProvider"</v>
      </c>
      <c r="G16" s="22" t="str">
        <f t="shared" si="2"/>
        <v>"Rimba\\Who\\": "src/"</v>
      </c>
      <c r="I16" s="22" t="str">
        <f t="shared" si="3"/>
        <v>who-rimba/siapa</v>
      </c>
      <c r="J16" s="6" t="s">
        <v>83</v>
      </c>
      <c r="K16" s="22" t="s">
        <v>89</v>
      </c>
      <c r="T16" s="22" t="s">
        <v>99</v>
      </c>
      <c r="V16" s="1"/>
    </row>
    <row r="17" spans="1:22" x14ac:dyDescent="0.25">
      <c r="A17" s="22" t="s">
        <v>15</v>
      </c>
      <c r="B17" s="22" t="s">
        <v>35</v>
      </c>
      <c r="C17" s="22" t="str">
        <f t="shared" si="0"/>
        <v>rimba/boleh</v>
      </c>
      <c r="D17" s="22" t="s">
        <v>82</v>
      </c>
      <c r="E17" s="22" t="s">
        <v>54</v>
      </c>
      <c r="F17" s="22" t="str">
        <f t="shared" si="1"/>
        <v>"Rimba\\Can\\CanServiceProvider"</v>
      </c>
      <c r="G17" s="22" t="str">
        <f t="shared" si="2"/>
        <v>"Rimba\\Can\\": "src/"</v>
      </c>
      <c r="I17" s="22" t="str">
        <f t="shared" si="3"/>
        <v>can-rimba/boleh</v>
      </c>
      <c r="J17" s="6" t="s">
        <v>83</v>
      </c>
      <c r="K17" s="22" t="s">
        <v>89</v>
      </c>
      <c r="L17" s="6" t="s">
        <v>86</v>
      </c>
      <c r="T17" s="22" t="s">
        <v>433</v>
      </c>
      <c r="V17" s="1"/>
    </row>
    <row r="18" spans="1:22" x14ac:dyDescent="0.25">
      <c r="A18" s="22" t="s">
        <v>16</v>
      </c>
      <c r="B18" s="22" t="s">
        <v>36</v>
      </c>
      <c r="C18" s="22" t="str">
        <f t="shared" si="0"/>
        <v>rimba/versi</v>
      </c>
      <c r="D18" s="22" t="s">
        <v>82</v>
      </c>
      <c r="E18" s="22" t="s">
        <v>60</v>
      </c>
      <c r="F18" s="22" t="str">
        <f t="shared" si="1"/>
        <v>"Rimba\\Versioning\\VersioningServiceProvider"</v>
      </c>
      <c r="G18" s="22" t="str">
        <f t="shared" si="2"/>
        <v>"Rimba\\Versioning\\": "src/"</v>
      </c>
      <c r="I18" s="22" t="str">
        <f t="shared" si="3"/>
        <v>versioning-rimba/versi</v>
      </c>
      <c r="J18" s="6" t="s">
        <v>83</v>
      </c>
      <c r="K18" s="22" t="s">
        <v>89</v>
      </c>
      <c r="T18" s="22" t="s">
        <v>100</v>
      </c>
      <c r="V18" s="1"/>
    </row>
    <row r="19" spans="1:22" x14ac:dyDescent="0.25">
      <c r="A19" s="22" t="s">
        <v>17</v>
      </c>
      <c r="B19" s="22" t="s">
        <v>37</v>
      </c>
      <c r="C19" s="22" t="str">
        <f t="shared" si="0"/>
        <v>rimba/jejak</v>
      </c>
      <c r="D19" s="22" t="s">
        <v>82</v>
      </c>
      <c r="E19" s="22" t="s">
        <v>61</v>
      </c>
      <c r="F19" s="22" t="str">
        <f t="shared" si="1"/>
        <v>"Rimba\\Trail\\TrailServiceProvider"</v>
      </c>
      <c r="G19" s="22" t="str">
        <f t="shared" si="2"/>
        <v>"Rimba\\Trail\\": "src/"</v>
      </c>
      <c r="I19" s="22" t="str">
        <f t="shared" si="3"/>
        <v>trail-rimba/jejak</v>
      </c>
      <c r="J19" s="6" t="s">
        <v>83</v>
      </c>
      <c r="K19" s="22" t="s">
        <v>89</v>
      </c>
      <c r="L19" s="22" t="s">
        <v>237</v>
      </c>
      <c r="T19" s="22" t="s">
        <v>242</v>
      </c>
      <c r="V19" s="1"/>
    </row>
    <row r="20" spans="1:22" x14ac:dyDescent="0.25">
      <c r="A20" s="22" t="s">
        <v>18</v>
      </c>
      <c r="B20" s="22" t="s">
        <v>38</v>
      </c>
      <c r="C20" s="22" t="str">
        <f t="shared" si="0"/>
        <v>rimba/kerja</v>
      </c>
      <c r="D20" s="22" t="s">
        <v>82</v>
      </c>
      <c r="E20" s="22" t="s">
        <v>58</v>
      </c>
      <c r="F20" s="22" t="str">
        <f t="shared" si="1"/>
        <v>"Rimba\\Work\\WorkServiceProvider"</v>
      </c>
      <c r="G20" s="22" t="str">
        <f t="shared" si="2"/>
        <v>"Rimba\\Work\\": "src/"</v>
      </c>
      <c r="I20" s="22" t="str">
        <f t="shared" si="3"/>
        <v>work-rimba/kerja</v>
      </c>
      <c r="J20" s="6" t="s">
        <v>83</v>
      </c>
      <c r="K20" s="22" t="s">
        <v>89</v>
      </c>
      <c r="L20" s="22" t="s">
        <v>411</v>
      </c>
      <c r="M20" s="22" t="s">
        <v>237</v>
      </c>
      <c r="N20" s="22" t="s">
        <v>233</v>
      </c>
      <c r="O20" s="6" t="s">
        <v>86</v>
      </c>
      <c r="T20" s="22" t="s">
        <v>413</v>
      </c>
      <c r="V20" s="1"/>
    </row>
    <row r="21" spans="1:22" x14ac:dyDescent="0.25">
      <c r="A21" s="22" t="s">
        <v>19</v>
      </c>
      <c r="B21" s="22" t="s">
        <v>39</v>
      </c>
      <c r="C21" s="22" t="str">
        <f t="shared" si="0"/>
        <v>rimba/jalan</v>
      </c>
      <c r="D21" s="22" t="s">
        <v>82</v>
      </c>
      <c r="E21" s="22" t="s">
        <v>57</v>
      </c>
      <c r="F21" s="22" t="str">
        <f t="shared" si="1"/>
        <v>"Rimba\\Flow\\FlowServiceProvider"</v>
      </c>
      <c r="G21" s="22" t="str">
        <f t="shared" si="2"/>
        <v>"Rimba\\Flow\\": "src/"</v>
      </c>
      <c r="I21" s="22" t="str">
        <f t="shared" si="3"/>
        <v>flow-rimba/jalan</v>
      </c>
      <c r="J21" s="6" t="s">
        <v>83</v>
      </c>
      <c r="K21" s="22" t="s">
        <v>89</v>
      </c>
      <c r="L21" s="22" t="s">
        <v>411</v>
      </c>
      <c r="M21" s="22" t="s">
        <v>410</v>
      </c>
      <c r="N21" s="22" t="s">
        <v>233</v>
      </c>
      <c r="O21" s="6" t="s">
        <v>86</v>
      </c>
      <c r="T21" s="22" t="s">
        <v>414</v>
      </c>
      <c r="V21" s="1"/>
    </row>
    <row r="22" spans="1:22" x14ac:dyDescent="0.25">
      <c r="A22" s="22" t="s">
        <v>20</v>
      </c>
      <c r="B22" s="22" t="s">
        <v>23</v>
      </c>
      <c r="C22" s="22" t="str">
        <f t="shared" si="0"/>
        <v>rimba/jalur</v>
      </c>
      <c r="D22" s="22" t="s">
        <v>82</v>
      </c>
      <c r="E22" s="22" t="s">
        <v>59</v>
      </c>
      <c r="F22" s="22" t="str">
        <f t="shared" si="1"/>
        <v>"Rimba\\Menu\\MenuServiceProvider"</v>
      </c>
      <c r="G22" s="22" t="str">
        <f t="shared" si="2"/>
        <v>"Rimba\\Menu\\": "src/"</v>
      </c>
      <c r="I22" s="22" t="str">
        <f t="shared" si="3"/>
        <v>menu-rimba/jalur</v>
      </c>
      <c r="J22" s="6" t="s">
        <v>83</v>
      </c>
      <c r="K22" s="22" t="s">
        <v>89</v>
      </c>
      <c r="L22" s="22" t="s">
        <v>415</v>
      </c>
      <c r="T22" s="22" t="s">
        <v>416</v>
      </c>
      <c r="V22" s="1"/>
    </row>
    <row r="23" spans="1:22" x14ac:dyDescent="0.25">
      <c r="A23" s="22" t="s">
        <v>21</v>
      </c>
      <c r="B23" s="22" t="s">
        <v>22</v>
      </c>
      <c r="C23" s="22" t="str">
        <f t="shared" si="0"/>
        <v>rimba/laras</v>
      </c>
      <c r="D23" s="22" t="s">
        <v>82</v>
      </c>
      <c r="E23" s="22" t="s">
        <v>64</v>
      </c>
      <c r="F23" s="22" t="str">
        <f t="shared" si="1"/>
        <v>"Rimba\\Sync\\SyncServiceProvider"</v>
      </c>
      <c r="G23" s="22" t="str">
        <f t="shared" si="2"/>
        <v>"Rimba\\Sync\\": "src/"</v>
      </c>
      <c r="I23" s="22" t="str">
        <f t="shared" si="3"/>
        <v>sync-rimba/laras</v>
      </c>
      <c r="J23" s="6" t="s">
        <v>83</v>
      </c>
      <c r="K23" s="22" t="s">
        <v>89</v>
      </c>
      <c r="T23" s="22" t="s">
        <v>101</v>
      </c>
      <c r="V23" s="1"/>
    </row>
    <row r="24" spans="1:22" x14ac:dyDescent="0.25">
      <c r="A24" s="22" t="s">
        <v>65</v>
      </c>
      <c r="B24" s="22" t="s">
        <v>65</v>
      </c>
      <c r="C24" s="22" t="str">
        <f t="shared" si="0"/>
        <v>rimba/ldap</v>
      </c>
      <c r="D24" s="22" t="s">
        <v>82</v>
      </c>
      <c r="E24" s="22" t="s">
        <v>74</v>
      </c>
      <c r="F24" s="22" t="str">
        <f t="shared" si="1"/>
        <v>"Rimba\\Ldap\\LdapServiceProvider"</v>
      </c>
      <c r="G24" s="22" t="str">
        <f t="shared" si="2"/>
        <v>"Rimba\\Ldap\\": "src/"</v>
      </c>
      <c r="I24" s="22" t="str">
        <f t="shared" si="3"/>
        <v>ldap-rimba/ldap</v>
      </c>
      <c r="J24" s="6" t="s">
        <v>83</v>
      </c>
      <c r="K24" s="22" t="s">
        <v>89</v>
      </c>
      <c r="T24" s="22" t="s">
        <v>102</v>
      </c>
      <c r="V24" s="1"/>
    </row>
    <row r="25" spans="1:22" x14ac:dyDescent="0.25">
      <c r="A25" s="22" t="s">
        <v>66</v>
      </c>
      <c r="B25" s="22" t="s">
        <v>66</v>
      </c>
      <c r="C25" s="22" t="str">
        <f t="shared" si="0"/>
        <v>rimba/idp</v>
      </c>
      <c r="D25" s="22" t="s">
        <v>82</v>
      </c>
      <c r="E25" s="22" t="s">
        <v>73</v>
      </c>
      <c r="F25" s="22" t="str">
        <f t="shared" si="1"/>
        <v>"Rimba\\Idp\\IdpServiceProvider"</v>
      </c>
      <c r="G25" s="22" t="str">
        <f t="shared" si="2"/>
        <v>"Rimba\\Idp\\": "src/"</v>
      </c>
      <c r="I25" s="22" t="str">
        <f t="shared" si="3"/>
        <v>idp-rimba/idp</v>
      </c>
      <c r="J25" s="6" t="s">
        <v>83</v>
      </c>
      <c r="K25" s="22" t="s">
        <v>89</v>
      </c>
      <c r="T25" s="22" t="s">
        <v>103</v>
      </c>
      <c r="V25" s="1"/>
    </row>
    <row r="26" spans="1:22" x14ac:dyDescent="0.25">
      <c r="A26" s="22" t="s">
        <v>67</v>
      </c>
      <c r="B26" s="22" t="s">
        <v>67</v>
      </c>
      <c r="C26" s="22" t="str">
        <f t="shared" si="0"/>
        <v>rimba/dms</v>
      </c>
      <c r="D26" s="22" t="s">
        <v>82</v>
      </c>
      <c r="E26" s="22" t="s">
        <v>75</v>
      </c>
      <c r="F26" s="22" t="str">
        <f t="shared" si="1"/>
        <v>"Rimba\\Dms\\DmsServiceProvider"</v>
      </c>
      <c r="G26" s="22" t="str">
        <f t="shared" si="2"/>
        <v>"Rimba\\Dms\\": "src/"</v>
      </c>
      <c r="I26" s="22" t="str">
        <f t="shared" si="3"/>
        <v>dms-rimba/dms</v>
      </c>
      <c r="J26" s="6" t="s">
        <v>83</v>
      </c>
      <c r="K26" s="22" t="s">
        <v>89</v>
      </c>
      <c r="T26" s="22" t="s">
        <v>104</v>
      </c>
      <c r="V26" s="1"/>
    </row>
    <row r="27" spans="1:22" x14ac:dyDescent="0.25">
      <c r="A27" s="22" t="s">
        <v>68</v>
      </c>
      <c r="B27" s="22" t="s">
        <v>68</v>
      </c>
      <c r="C27" s="22" t="str">
        <f t="shared" si="0"/>
        <v>rimba/lms</v>
      </c>
      <c r="D27" s="22" t="s">
        <v>82</v>
      </c>
      <c r="E27" s="22" t="s">
        <v>76</v>
      </c>
      <c r="F27" s="22" t="str">
        <f t="shared" si="1"/>
        <v>"Rimba\\Lms\\LmsServiceProvider"</v>
      </c>
      <c r="G27" s="22" t="str">
        <f t="shared" si="2"/>
        <v>"Rimba\\Lms\\": "src/"</v>
      </c>
      <c r="I27" s="22" t="str">
        <f t="shared" si="3"/>
        <v>lms-rimba/lms</v>
      </c>
      <c r="J27" s="6" t="s">
        <v>83</v>
      </c>
      <c r="K27" s="22" t="s">
        <v>89</v>
      </c>
      <c r="T27" s="22" t="s">
        <v>105</v>
      </c>
      <c r="V27" s="1"/>
    </row>
    <row r="28" spans="1:22" x14ac:dyDescent="0.25">
      <c r="A28" s="22" t="s">
        <v>70</v>
      </c>
      <c r="B28" s="22" t="s">
        <v>70</v>
      </c>
      <c r="C28" s="22" t="str">
        <f t="shared" si="0"/>
        <v>rimba/hrm</v>
      </c>
      <c r="D28" s="22" t="s">
        <v>82</v>
      </c>
      <c r="E28" s="22" t="s">
        <v>77</v>
      </c>
      <c r="F28" s="22" t="str">
        <f t="shared" si="1"/>
        <v>"Rimba\\Hrm\\HrmServiceProvider"</v>
      </c>
      <c r="G28" s="22" t="str">
        <f t="shared" si="2"/>
        <v>"Rimba\\Hrm\\": "src/"</v>
      </c>
      <c r="I28" s="22" t="str">
        <f t="shared" si="3"/>
        <v>hrm-rimba/hrm</v>
      </c>
      <c r="J28" s="6" t="s">
        <v>83</v>
      </c>
      <c r="K28" s="22" t="s">
        <v>89</v>
      </c>
      <c r="T28" s="22" t="s">
        <v>106</v>
      </c>
      <c r="V28" s="1"/>
    </row>
    <row r="29" spans="1:22" x14ac:dyDescent="0.25">
      <c r="A29" s="22" t="s">
        <v>69</v>
      </c>
      <c r="B29" s="22" t="s">
        <v>69</v>
      </c>
      <c r="C29" s="22" t="str">
        <f t="shared" si="0"/>
        <v>rimba/tos</v>
      </c>
      <c r="D29" s="22" t="s">
        <v>82</v>
      </c>
      <c r="E29" s="22" t="s">
        <v>78</v>
      </c>
      <c r="F29" s="22" t="str">
        <f t="shared" si="1"/>
        <v>"Rimba\\Tos\\TosServiceProvider"</v>
      </c>
      <c r="G29" s="22" t="str">
        <f t="shared" si="2"/>
        <v>"Rimba\\Tos\\": "src/"</v>
      </c>
      <c r="I29" s="22" t="str">
        <f t="shared" si="3"/>
        <v>tos-rimba/tos</v>
      </c>
      <c r="J29" s="6" t="s">
        <v>83</v>
      </c>
      <c r="K29" s="22" t="s">
        <v>89</v>
      </c>
      <c r="T29" s="22" t="s">
        <v>107</v>
      </c>
      <c r="V29" s="1"/>
    </row>
    <row r="30" spans="1:22" x14ac:dyDescent="0.25">
      <c r="A30" s="22" t="s">
        <v>71</v>
      </c>
      <c r="B30" s="22" t="s">
        <v>71</v>
      </c>
      <c r="C30" s="22" t="str">
        <f t="shared" si="0"/>
        <v>rimba/lcs</v>
      </c>
      <c r="D30" s="22" t="s">
        <v>82</v>
      </c>
      <c r="E30" s="22" t="s">
        <v>79</v>
      </c>
      <c r="F30" s="22" t="str">
        <f t="shared" si="1"/>
        <v>"Rimba\\Lcs\\LcsServiceProvider"</v>
      </c>
      <c r="G30" s="22" t="str">
        <f t="shared" si="2"/>
        <v>"Rimba\\Lcs\\": "src/"</v>
      </c>
      <c r="I30" s="22" t="str">
        <f t="shared" si="3"/>
        <v>lcs-rimba/lcs</v>
      </c>
      <c r="J30" s="6" t="s">
        <v>83</v>
      </c>
      <c r="K30" s="22" t="s">
        <v>89</v>
      </c>
      <c r="T30" s="22" t="s">
        <v>108</v>
      </c>
      <c r="V30" s="1"/>
    </row>
    <row r="31" spans="1:22" x14ac:dyDescent="0.25">
      <c r="A31" s="22" t="s">
        <v>72</v>
      </c>
      <c r="B31" s="22" t="s">
        <v>72</v>
      </c>
      <c r="C31" s="22" t="str">
        <f t="shared" si="0"/>
        <v>rimba/eam</v>
      </c>
      <c r="D31" s="22" t="s">
        <v>82</v>
      </c>
      <c r="E31" s="22" t="s">
        <v>80</v>
      </c>
      <c r="F31" s="22" t="str">
        <f t="shared" si="1"/>
        <v>"Rimba\\Eam\\EamServiceProvider"</v>
      </c>
      <c r="G31" s="22" t="str">
        <f t="shared" si="2"/>
        <v>"Rimba\\Eam\\": "src/"</v>
      </c>
      <c r="I31" s="22" t="str">
        <f t="shared" si="3"/>
        <v>eam-rimba/eam</v>
      </c>
      <c r="J31" s="6" t="s">
        <v>83</v>
      </c>
      <c r="K31" s="22" t="s">
        <v>89</v>
      </c>
      <c r="T31" s="22" t="s">
        <v>109</v>
      </c>
      <c r="V31" s="1"/>
    </row>
    <row r="32" spans="1:22" x14ac:dyDescent="0.25">
      <c r="A32" s="22" t="s">
        <v>72</v>
      </c>
      <c r="B32" s="22" t="s">
        <v>72</v>
      </c>
      <c r="C32" s="22" t="str">
        <f t="shared" ref="C32" si="4">$A$1&amp;"/"&amp;A32</f>
        <v>rimba/eam</v>
      </c>
      <c r="D32" s="22" t="s">
        <v>82</v>
      </c>
      <c r="E32" s="22" t="s">
        <v>80</v>
      </c>
      <c r="F32" s="22" t="str">
        <f t="shared" ref="F32" si="5">CONCATENATE(CHAR(34),PROPER($A$1),"\\",PROPER(B32),"\\",PROPER(B32),"ServiceProvider",CHAR(34))</f>
        <v>"Rimba\\Eam\\EamServiceProvider"</v>
      </c>
      <c r="G32" s="22" t="str">
        <f t="shared" ref="G32" si="6">CONCATENATE(CHAR(34),PROPER($A$1),"\\",PROPER(B32),"\\",CHAR(34),": ",CHAR(34),"src/",CHAR(34))</f>
        <v>"Rimba\\Eam\\": "src/"</v>
      </c>
      <c r="I32" s="22" t="str">
        <f t="shared" ref="I32" si="7">B32&amp;"-"&amp;C32</f>
        <v>eam-rimba/eam</v>
      </c>
      <c r="J32" s="6" t="s">
        <v>83</v>
      </c>
      <c r="K32" s="22" t="s">
        <v>89</v>
      </c>
      <c r="V32" s="1"/>
    </row>
    <row r="33" spans="22:22" x14ac:dyDescent="0.25">
      <c r="V33" s="1"/>
    </row>
    <row r="34" spans="22:22" x14ac:dyDescent="0.25">
      <c r="V34" s="1"/>
    </row>
  </sheetData>
  <sortState xmlns:xlrd2="http://schemas.microsoft.com/office/spreadsheetml/2017/richdata2" columnSort="1" ref="K31:S31">
    <sortCondition ref="K31:S31"/>
  </sortState>
  <phoneticPr fontId="9" type="noConversion"/>
  <conditionalFormatting sqref="P21:S21 J1:S16 J20:L21 O20:S20 J18:S19 J17:K17 M17:S17 J22:S1048576">
    <cfRule type="containsBlanks" dxfId="0" priority="1">
      <formula>LEN(TRIM(J1))=0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6F9D8-6D71-42AC-974A-032C84B68B82}">
  <sheetPr codeName="Sheet4"/>
  <dimension ref="A3:E4"/>
  <sheetViews>
    <sheetView workbookViewId="0">
      <selection activeCell="D3" sqref="D3"/>
    </sheetView>
  </sheetViews>
  <sheetFormatPr defaultRowHeight="15" x14ac:dyDescent="0.25"/>
  <sheetData>
    <row r="3" spans="1:5" x14ac:dyDescent="0.25">
      <c r="A3" t="s">
        <v>20</v>
      </c>
      <c r="B3" t="s">
        <v>440</v>
      </c>
      <c r="E3" t="s">
        <v>438</v>
      </c>
    </row>
    <row r="4" spans="1:5" x14ac:dyDescent="0.25">
      <c r="E4" t="s">
        <v>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C5501-F56B-4808-AB5B-B4F6D6ECD37C}">
  <sheetPr codeName="Sheet2"/>
  <dimension ref="A1:AE154"/>
  <sheetViews>
    <sheetView workbookViewId="0">
      <pane xSplit="4" ySplit="1" topLeftCell="W2" activePane="bottomRight" state="frozen"/>
      <selection pane="topRight" activeCell="E1" sqref="E1"/>
      <selection pane="bottomLeft" activeCell="A2" sqref="A2"/>
      <selection pane="bottomRight" activeCell="Z7" sqref="Z7"/>
    </sheetView>
  </sheetViews>
  <sheetFormatPr defaultRowHeight="15" x14ac:dyDescent="0.25"/>
  <cols>
    <col min="1" max="1" width="19" bestFit="1" customWidth="1"/>
    <col min="2" max="2" width="7.5703125" bestFit="1" customWidth="1"/>
    <col min="3" max="4" width="2.85546875" customWidth="1"/>
    <col min="5" max="5" width="102.42578125" customWidth="1"/>
    <col min="6" max="6" width="43.28515625" bestFit="1" customWidth="1"/>
    <col min="7" max="7" width="129.7109375" bestFit="1" customWidth="1"/>
    <col min="8" max="8" width="126.140625" bestFit="1" customWidth="1"/>
    <col min="9" max="11" width="43.28515625" bestFit="1" customWidth="1"/>
    <col min="12" max="12" width="52.42578125" bestFit="1" customWidth="1"/>
    <col min="13" max="13" width="64.28515625" bestFit="1" customWidth="1"/>
    <col min="14" max="14" width="63.42578125" bestFit="1" customWidth="1"/>
    <col min="15" max="15" width="65.7109375" bestFit="1" customWidth="1"/>
    <col min="16" max="16" width="111.85546875" bestFit="1" customWidth="1"/>
    <col min="17" max="17" width="43.28515625" bestFit="1" customWidth="1"/>
    <col min="18" max="18" width="52.42578125" bestFit="1" customWidth="1"/>
    <col min="19" max="19" width="50.140625" bestFit="1" customWidth="1"/>
    <col min="20" max="20" width="50.85546875" bestFit="1" customWidth="1"/>
    <col min="21" max="21" width="50.42578125" bestFit="1" customWidth="1"/>
    <col min="22" max="22" width="51.140625" bestFit="1" customWidth="1"/>
    <col min="23" max="23" width="94.140625" bestFit="1" customWidth="1"/>
    <col min="24" max="31" width="43.28515625" bestFit="1" customWidth="1"/>
  </cols>
  <sheetData>
    <row r="1" spans="1:31" x14ac:dyDescent="0.25">
      <c r="A1" t="s">
        <v>41</v>
      </c>
      <c r="E1" s="4" t="s">
        <v>116</v>
      </c>
      <c r="F1" s="17" t="s">
        <v>117</v>
      </c>
      <c r="G1" s="4" t="s">
        <v>118</v>
      </c>
      <c r="H1" s="4" t="s">
        <v>119</v>
      </c>
      <c r="I1" s="17" t="s">
        <v>120</v>
      </c>
      <c r="J1" s="17" t="s">
        <v>121</v>
      </c>
      <c r="K1" s="17" t="s">
        <v>122</v>
      </c>
      <c r="L1" s="4" t="s">
        <v>123</v>
      </c>
      <c r="M1" s="4" t="s">
        <v>124</v>
      </c>
      <c r="N1" s="4" t="s">
        <v>125</v>
      </c>
      <c r="O1" s="4" t="s">
        <v>126</v>
      </c>
      <c r="P1" s="4" t="s">
        <v>127</v>
      </c>
      <c r="Q1" s="17" t="s">
        <v>128</v>
      </c>
      <c r="R1" s="4" t="s">
        <v>129</v>
      </c>
      <c r="S1" s="4" t="s">
        <v>130</v>
      </c>
      <c r="T1" s="4" t="s">
        <v>131</v>
      </c>
      <c r="U1" s="4" t="s">
        <v>132</v>
      </c>
      <c r="V1" s="4" t="s">
        <v>133</v>
      </c>
      <c r="W1" s="4" t="s">
        <v>134</v>
      </c>
      <c r="X1" s="17" t="s">
        <v>135</v>
      </c>
      <c r="Y1" s="17" t="s">
        <v>136</v>
      </c>
      <c r="Z1" s="17" t="s">
        <v>137</v>
      </c>
      <c r="AA1" s="17" t="s">
        <v>138</v>
      </c>
      <c r="AB1" s="17" t="s">
        <v>139</v>
      </c>
      <c r="AC1" s="17" t="s">
        <v>140</v>
      </c>
      <c r="AD1" s="17" t="s">
        <v>141</v>
      </c>
      <c r="AE1" s="17" t="s">
        <v>142</v>
      </c>
    </row>
    <row r="2" spans="1:31" x14ac:dyDescent="0.25">
      <c r="P2" t="s">
        <v>190</v>
      </c>
      <c r="W2" t="s">
        <v>191</v>
      </c>
    </row>
    <row r="3" spans="1:31" x14ac:dyDescent="0.25">
      <c r="A3" t="s">
        <v>113</v>
      </c>
      <c r="E3" s="11" t="b">
        <v>1</v>
      </c>
      <c r="F3" s="11" t="b">
        <v>0</v>
      </c>
      <c r="G3" s="11" t="b">
        <v>0</v>
      </c>
      <c r="H3" s="11" t="b">
        <v>0</v>
      </c>
      <c r="I3" s="11" t="b">
        <v>0</v>
      </c>
      <c r="J3" s="11" t="b">
        <v>0</v>
      </c>
      <c r="K3" s="11" t="b">
        <v>0</v>
      </c>
      <c r="L3" s="11" t="b">
        <v>1</v>
      </c>
      <c r="M3" s="11" t="b">
        <v>1</v>
      </c>
      <c r="N3" s="11" t="b">
        <v>1</v>
      </c>
      <c r="O3" s="11" t="b">
        <v>1</v>
      </c>
      <c r="P3" s="11" t="b">
        <v>1</v>
      </c>
      <c r="Q3" s="11" t="b">
        <v>0</v>
      </c>
      <c r="R3" s="11" t="b">
        <v>1</v>
      </c>
      <c r="S3" s="11" t="b">
        <v>1</v>
      </c>
      <c r="T3" s="11" t="b">
        <v>1</v>
      </c>
      <c r="U3" s="11" t="b">
        <v>0</v>
      </c>
      <c r="V3" s="11" t="b">
        <v>1</v>
      </c>
      <c r="W3" s="11" t="b">
        <v>1</v>
      </c>
      <c r="X3" s="11" t="b">
        <v>0</v>
      </c>
      <c r="Y3" s="11" t="b">
        <v>0</v>
      </c>
      <c r="Z3" s="11" t="b">
        <v>0</v>
      </c>
      <c r="AA3" s="11" t="b">
        <v>0</v>
      </c>
      <c r="AB3" s="11" t="b">
        <v>0</v>
      </c>
      <c r="AC3" s="11" t="b">
        <v>0</v>
      </c>
      <c r="AD3" s="11" t="b">
        <v>0</v>
      </c>
      <c r="AE3" s="11" t="b">
        <v>0</v>
      </c>
    </row>
    <row r="4" spans="1:31" x14ac:dyDescent="0.25">
      <c r="A4" t="s">
        <v>114</v>
      </c>
      <c r="E4" s="11" t="b">
        <v>0</v>
      </c>
      <c r="F4" s="11" t="b">
        <v>1</v>
      </c>
      <c r="G4" s="11" t="b">
        <v>1</v>
      </c>
      <c r="H4" s="11" t="b">
        <v>1</v>
      </c>
      <c r="I4" s="11" t="b">
        <v>0</v>
      </c>
      <c r="J4" s="11" t="b">
        <v>0</v>
      </c>
      <c r="K4" s="11" t="b">
        <v>0</v>
      </c>
      <c r="L4" s="11" t="b">
        <v>0</v>
      </c>
      <c r="M4" s="11" t="b">
        <v>0</v>
      </c>
      <c r="N4" s="11" t="b">
        <v>1</v>
      </c>
      <c r="O4" s="11" t="b">
        <v>1</v>
      </c>
      <c r="P4" s="11" t="b">
        <v>1</v>
      </c>
      <c r="Q4" s="11" t="b">
        <v>0</v>
      </c>
      <c r="R4" s="11" t="b">
        <v>0</v>
      </c>
      <c r="S4" s="11" t="b">
        <v>0</v>
      </c>
      <c r="T4" s="11" t="b">
        <v>0</v>
      </c>
      <c r="U4" s="11" t="b">
        <v>0</v>
      </c>
      <c r="V4" s="11" t="b">
        <v>0</v>
      </c>
      <c r="W4" s="11" t="b">
        <v>0</v>
      </c>
      <c r="X4" s="11" t="b">
        <v>0</v>
      </c>
      <c r="Y4" s="11" t="b">
        <v>0</v>
      </c>
      <c r="Z4" s="11" t="b">
        <v>0</v>
      </c>
      <c r="AA4" s="11" t="b">
        <v>0</v>
      </c>
      <c r="AB4" s="11" t="b">
        <v>0</v>
      </c>
      <c r="AC4" s="11" t="b">
        <v>0</v>
      </c>
      <c r="AD4" s="11" t="b">
        <v>0</v>
      </c>
      <c r="AE4" s="11" t="b">
        <v>0</v>
      </c>
    </row>
    <row r="5" spans="1:31" x14ac:dyDescent="0.25">
      <c r="A5" t="s">
        <v>115</v>
      </c>
      <c r="E5" s="11" t="b">
        <v>0</v>
      </c>
      <c r="F5" s="11" t="b">
        <v>0</v>
      </c>
      <c r="G5" s="11" t="b">
        <v>1</v>
      </c>
      <c r="H5" s="11" t="b">
        <v>1</v>
      </c>
      <c r="I5" s="11" t="b">
        <v>0</v>
      </c>
      <c r="J5" s="11" t="b">
        <v>0</v>
      </c>
      <c r="K5" s="11" t="b">
        <v>0</v>
      </c>
      <c r="L5" s="11" t="b">
        <v>0</v>
      </c>
      <c r="M5" s="11" t="b">
        <v>1</v>
      </c>
      <c r="N5" s="11" t="b">
        <v>1</v>
      </c>
      <c r="O5" s="11" t="b">
        <v>1</v>
      </c>
      <c r="P5" s="11" t="b">
        <v>1</v>
      </c>
      <c r="Q5" s="11" t="b">
        <v>0</v>
      </c>
      <c r="R5" s="11" t="b">
        <v>0</v>
      </c>
      <c r="S5" s="11" t="b">
        <v>0</v>
      </c>
      <c r="T5" s="11" t="b">
        <v>0</v>
      </c>
      <c r="U5" s="11" t="b">
        <v>0</v>
      </c>
      <c r="V5" s="11" t="b">
        <v>0</v>
      </c>
      <c r="W5" s="11" t="b">
        <v>0</v>
      </c>
      <c r="X5" s="11" t="b">
        <v>0</v>
      </c>
      <c r="Y5" s="11" t="b">
        <v>0</v>
      </c>
      <c r="Z5" s="11" t="b">
        <v>0</v>
      </c>
      <c r="AA5" s="11" t="b">
        <v>0</v>
      </c>
      <c r="AB5" s="11" t="b">
        <v>0</v>
      </c>
      <c r="AC5" s="11" t="b">
        <v>0</v>
      </c>
      <c r="AD5" s="11" t="b">
        <v>0</v>
      </c>
      <c r="AE5" s="11" t="b">
        <v>0</v>
      </c>
    </row>
    <row r="7" spans="1:31" x14ac:dyDescent="0.25">
      <c r="A7" t="s">
        <v>143</v>
      </c>
      <c r="E7" s="11" t="b">
        <v>0</v>
      </c>
      <c r="F7" s="11" t="b">
        <v>0</v>
      </c>
      <c r="G7" s="11" t="b">
        <v>0</v>
      </c>
      <c r="H7" s="11" t="b">
        <v>0</v>
      </c>
      <c r="I7" s="11" t="b">
        <v>1</v>
      </c>
      <c r="J7" s="11" t="b">
        <v>1</v>
      </c>
      <c r="K7" s="11" t="b">
        <v>1</v>
      </c>
      <c r="L7" s="11" t="b">
        <v>1</v>
      </c>
      <c r="M7" s="11" t="b">
        <v>1</v>
      </c>
      <c r="N7" s="11" t="b">
        <v>1</v>
      </c>
      <c r="O7" s="11" t="b">
        <v>1</v>
      </c>
      <c r="P7" s="11" t="b">
        <v>1</v>
      </c>
      <c r="Q7" s="11" t="b">
        <v>1</v>
      </c>
      <c r="R7" s="11" t="b">
        <v>1</v>
      </c>
      <c r="S7" s="11" t="b">
        <v>1</v>
      </c>
      <c r="T7" s="11" t="b">
        <v>1</v>
      </c>
      <c r="U7" s="11" t="b">
        <v>1</v>
      </c>
      <c r="V7" s="11" t="b">
        <v>1</v>
      </c>
      <c r="W7" s="11" t="b">
        <v>1</v>
      </c>
      <c r="X7" s="11" t="b">
        <v>1</v>
      </c>
      <c r="Y7" s="11" t="b">
        <v>1</v>
      </c>
      <c r="Z7" s="11" t="b">
        <v>1</v>
      </c>
      <c r="AA7" s="11" t="b">
        <v>1</v>
      </c>
      <c r="AB7" s="11" t="b">
        <v>1</v>
      </c>
      <c r="AC7" s="11" t="b">
        <v>1</v>
      </c>
      <c r="AD7" s="11" t="b">
        <v>1</v>
      </c>
      <c r="AE7" s="11" t="b">
        <v>1</v>
      </c>
    </row>
    <row r="9" spans="1:31" x14ac:dyDescent="0.25">
      <c r="A9" t="s">
        <v>210</v>
      </c>
      <c r="B9" t="s">
        <v>144</v>
      </c>
      <c r="E9" s="9" t="s">
        <v>437</v>
      </c>
      <c r="F9" s="9" t="s">
        <v>437</v>
      </c>
      <c r="G9" s="9" t="s">
        <v>437</v>
      </c>
      <c r="H9" s="9" t="s">
        <v>437</v>
      </c>
      <c r="I9" s="9" t="s">
        <v>437</v>
      </c>
      <c r="J9" s="9" t="s">
        <v>437</v>
      </c>
      <c r="K9" s="9" t="s">
        <v>437</v>
      </c>
      <c r="L9" s="9" t="s">
        <v>437</v>
      </c>
      <c r="M9" s="9" t="s">
        <v>437</v>
      </c>
      <c r="N9" s="9" t="s">
        <v>437</v>
      </c>
      <c r="O9" s="9" t="s">
        <v>437</v>
      </c>
      <c r="P9" s="9" t="s">
        <v>437</v>
      </c>
      <c r="Q9" s="9" t="s">
        <v>437</v>
      </c>
      <c r="R9" s="9" t="s">
        <v>437</v>
      </c>
      <c r="S9" s="9" t="s">
        <v>437</v>
      </c>
      <c r="T9" s="9" t="s">
        <v>437</v>
      </c>
      <c r="U9" s="9" t="s">
        <v>437</v>
      </c>
      <c r="V9" s="9" t="s">
        <v>437</v>
      </c>
      <c r="W9" s="9" t="s">
        <v>437</v>
      </c>
      <c r="X9" s="9" t="s">
        <v>437</v>
      </c>
      <c r="Y9" s="9" t="s">
        <v>437</v>
      </c>
      <c r="Z9" s="9" t="s">
        <v>437</v>
      </c>
      <c r="AA9" s="9" t="s">
        <v>437</v>
      </c>
      <c r="AB9" s="9" t="s">
        <v>437</v>
      </c>
      <c r="AC9" s="9" t="s">
        <v>437</v>
      </c>
      <c r="AD9" s="9" t="s">
        <v>437</v>
      </c>
      <c r="AE9" s="9" t="s">
        <v>437</v>
      </c>
    </row>
    <row r="10" spans="1:31" x14ac:dyDescent="0.25">
      <c r="A10" s="13" t="s">
        <v>144</v>
      </c>
      <c r="B10" t="s">
        <v>144</v>
      </c>
      <c r="E10" s="9" t="s">
        <v>208</v>
      </c>
      <c r="F10" s="9" t="s">
        <v>211</v>
      </c>
      <c r="G10" s="9" t="s">
        <v>211</v>
      </c>
      <c r="H10" s="9" t="s">
        <v>211</v>
      </c>
      <c r="M10" s="9" t="s">
        <v>235</v>
      </c>
      <c r="N10" s="9" t="s">
        <v>238</v>
      </c>
      <c r="O10" s="9" t="s">
        <v>238</v>
      </c>
      <c r="R10" s="9" t="s">
        <v>417</v>
      </c>
    </row>
    <row r="11" spans="1:31" x14ac:dyDescent="0.25">
      <c r="A11" s="13"/>
      <c r="B11" t="s">
        <v>144</v>
      </c>
      <c r="E11" s="9" t="s">
        <v>209</v>
      </c>
      <c r="F11" s="9" t="s">
        <v>212</v>
      </c>
      <c r="G11" s="9" t="s">
        <v>212</v>
      </c>
      <c r="H11" s="9" t="s">
        <v>212</v>
      </c>
      <c r="M11" s="9"/>
      <c r="N11" s="9" t="s">
        <v>211</v>
      </c>
      <c r="O11" s="9" t="s">
        <v>211</v>
      </c>
      <c r="R11" s="9" t="s">
        <v>418</v>
      </c>
    </row>
    <row r="12" spans="1:31" x14ac:dyDescent="0.25">
      <c r="A12" s="13"/>
      <c r="B12" t="s">
        <v>144</v>
      </c>
      <c r="F12" s="9"/>
      <c r="G12" s="9" t="s">
        <v>213</v>
      </c>
      <c r="H12" s="9" t="s">
        <v>214</v>
      </c>
      <c r="N12" s="9" t="s">
        <v>212</v>
      </c>
      <c r="O12" s="9" t="s">
        <v>212</v>
      </c>
      <c r="R12" s="9" t="s">
        <v>419</v>
      </c>
    </row>
    <row r="13" spans="1:31" x14ac:dyDescent="0.25">
      <c r="A13" s="13"/>
      <c r="B13" t="s">
        <v>144</v>
      </c>
      <c r="H13" s="9" t="s">
        <v>215</v>
      </c>
    </row>
    <row r="14" spans="1:31" x14ac:dyDescent="0.25">
      <c r="A14" s="13"/>
      <c r="B14" t="s">
        <v>144</v>
      </c>
    </row>
    <row r="15" spans="1:31" x14ac:dyDescent="0.25">
      <c r="A15" s="13"/>
      <c r="B15" t="s">
        <v>144</v>
      </c>
    </row>
    <row r="17" spans="1:23" x14ac:dyDescent="0.25">
      <c r="A17" s="12" t="s">
        <v>145</v>
      </c>
      <c r="B17" t="s">
        <v>145</v>
      </c>
      <c r="W17" s="16"/>
    </row>
    <row r="18" spans="1:23" x14ac:dyDescent="0.25">
      <c r="A18" s="12"/>
      <c r="B18" t="s">
        <v>145</v>
      </c>
      <c r="W18" s="8"/>
    </row>
    <row r="19" spans="1:23" x14ac:dyDescent="0.25">
      <c r="A19" s="12"/>
      <c r="B19" t="s">
        <v>145</v>
      </c>
      <c r="W19" s="16"/>
    </row>
    <row r="20" spans="1:23" x14ac:dyDescent="0.25">
      <c r="A20" s="12"/>
      <c r="B20" t="s">
        <v>145</v>
      </c>
      <c r="W20" s="8"/>
    </row>
    <row r="21" spans="1:23" x14ac:dyDescent="0.25">
      <c r="A21" s="12"/>
      <c r="B21" t="s">
        <v>145</v>
      </c>
      <c r="W21" s="10"/>
    </row>
    <row r="22" spans="1:23" x14ac:dyDescent="0.25">
      <c r="A22" s="12"/>
      <c r="B22" t="s">
        <v>145</v>
      </c>
      <c r="W22" s="10"/>
    </row>
    <row r="23" spans="1:23" x14ac:dyDescent="0.25">
      <c r="A23" s="12"/>
      <c r="B23" t="s">
        <v>145</v>
      </c>
      <c r="W23" s="10"/>
    </row>
    <row r="24" spans="1:23" x14ac:dyDescent="0.25">
      <c r="A24" s="12"/>
      <c r="B24" t="s">
        <v>145</v>
      </c>
      <c r="W24" s="10"/>
    </row>
    <row r="25" spans="1:23" x14ac:dyDescent="0.25">
      <c r="A25" s="12"/>
      <c r="B25" t="s">
        <v>145</v>
      </c>
      <c r="W25" s="10"/>
    </row>
    <row r="26" spans="1:23" x14ac:dyDescent="0.25">
      <c r="A26" s="12"/>
      <c r="B26" t="s">
        <v>145</v>
      </c>
      <c r="W26" s="10"/>
    </row>
    <row r="27" spans="1:23" x14ac:dyDescent="0.25">
      <c r="A27" s="12"/>
      <c r="B27" t="s">
        <v>145</v>
      </c>
      <c r="W27" s="10"/>
    </row>
    <row r="28" spans="1:23" x14ac:dyDescent="0.25">
      <c r="A28" s="12"/>
      <c r="B28" t="s">
        <v>145</v>
      </c>
      <c r="W28" s="8"/>
    </row>
    <row r="29" spans="1:23" x14ac:dyDescent="0.25">
      <c r="A29" s="12"/>
      <c r="B29" t="s">
        <v>145</v>
      </c>
    </row>
    <row r="30" spans="1:23" x14ac:dyDescent="0.25">
      <c r="A30" s="12"/>
      <c r="B30" t="s">
        <v>145</v>
      </c>
    </row>
    <row r="31" spans="1:23" x14ac:dyDescent="0.25">
      <c r="A31" s="14" t="s">
        <v>146</v>
      </c>
      <c r="B31" t="s">
        <v>146</v>
      </c>
      <c r="E31" s="8" t="s">
        <v>192</v>
      </c>
      <c r="F31" s="15" t="s">
        <v>147</v>
      </c>
      <c r="G31" s="16" t="s">
        <v>157</v>
      </c>
      <c r="H31" s="15" t="s">
        <v>216</v>
      </c>
      <c r="M31" s="15" t="s">
        <v>183</v>
      </c>
      <c r="N31" s="15" t="s">
        <v>147</v>
      </c>
      <c r="O31" s="15" t="s">
        <v>147</v>
      </c>
      <c r="P31" s="18" t="s">
        <v>188</v>
      </c>
      <c r="R31" s="15" t="s">
        <v>420</v>
      </c>
      <c r="W31" s="8" t="s">
        <v>192</v>
      </c>
    </row>
    <row r="32" spans="1:23" x14ac:dyDescent="0.25">
      <c r="A32" s="14"/>
      <c r="B32" t="s">
        <v>146</v>
      </c>
      <c r="F32" s="10" t="s">
        <v>434</v>
      </c>
      <c r="G32" s="15" t="s">
        <v>147</v>
      </c>
      <c r="H32" s="15" t="s">
        <v>147</v>
      </c>
      <c r="N32" s="10" t="s">
        <v>148</v>
      </c>
      <c r="O32" s="10" t="s">
        <v>148</v>
      </c>
      <c r="P32" s="18" t="s">
        <v>189</v>
      </c>
      <c r="R32" s="10" t="s">
        <v>421</v>
      </c>
    </row>
    <row r="33" spans="1:18" x14ac:dyDescent="0.25">
      <c r="A33" s="14"/>
      <c r="B33" t="s">
        <v>146</v>
      </c>
      <c r="E33" s="10"/>
      <c r="F33" s="10" t="s">
        <v>436</v>
      </c>
      <c r="G33" s="10" t="s">
        <v>158</v>
      </c>
      <c r="H33" s="10" t="s">
        <v>158</v>
      </c>
      <c r="N33" s="10" t="s">
        <v>184</v>
      </c>
      <c r="O33" s="10" t="s">
        <v>149</v>
      </c>
      <c r="R33" s="10" t="s">
        <v>422</v>
      </c>
    </row>
    <row r="34" spans="1:18" x14ac:dyDescent="0.25">
      <c r="A34" s="14"/>
      <c r="B34" t="s">
        <v>146</v>
      </c>
      <c r="E34" s="10"/>
      <c r="F34" s="10" t="s">
        <v>156</v>
      </c>
      <c r="G34" s="10" t="s">
        <v>159</v>
      </c>
      <c r="H34" s="10" t="s">
        <v>217</v>
      </c>
      <c r="N34" s="10" t="s">
        <v>185</v>
      </c>
      <c r="O34" s="10" t="s">
        <v>150</v>
      </c>
      <c r="R34" s="10" t="s">
        <v>423</v>
      </c>
    </row>
    <row r="35" spans="1:18" x14ac:dyDescent="0.25">
      <c r="A35" s="14"/>
      <c r="B35" t="s">
        <v>146</v>
      </c>
      <c r="F35" s="15" t="s">
        <v>147</v>
      </c>
      <c r="G35" s="10" t="s">
        <v>156</v>
      </c>
      <c r="H35" s="10" t="s">
        <v>156</v>
      </c>
      <c r="N35" s="10" t="s">
        <v>151</v>
      </c>
      <c r="O35" s="10" t="s">
        <v>151</v>
      </c>
      <c r="R35" s="10" t="s">
        <v>424</v>
      </c>
    </row>
    <row r="36" spans="1:18" x14ac:dyDescent="0.25">
      <c r="A36" s="14"/>
      <c r="B36" t="s">
        <v>146</v>
      </c>
      <c r="F36" s="10" t="s">
        <v>435</v>
      </c>
      <c r="G36" s="15" t="s">
        <v>147</v>
      </c>
      <c r="H36" s="15" t="s">
        <v>147</v>
      </c>
      <c r="N36" s="10" t="s">
        <v>152</v>
      </c>
      <c r="O36" s="10" t="s">
        <v>152</v>
      </c>
      <c r="R36" s="10" t="s">
        <v>425</v>
      </c>
    </row>
    <row r="37" spans="1:18" x14ac:dyDescent="0.25">
      <c r="A37" s="14"/>
      <c r="B37" t="s">
        <v>146</v>
      </c>
      <c r="F37" s="10" t="s">
        <v>436</v>
      </c>
      <c r="G37" s="10" t="s">
        <v>160</v>
      </c>
      <c r="H37" s="10" t="s">
        <v>160</v>
      </c>
      <c r="N37" s="10" t="s">
        <v>186</v>
      </c>
      <c r="O37" s="10" t="s">
        <v>153</v>
      </c>
      <c r="R37" s="10" t="s">
        <v>177</v>
      </c>
    </row>
    <row r="38" spans="1:18" x14ac:dyDescent="0.25">
      <c r="A38" s="14"/>
      <c r="B38" t="s">
        <v>146</v>
      </c>
      <c r="F38" s="10" t="s">
        <v>156</v>
      </c>
      <c r="G38" s="10" t="s">
        <v>159</v>
      </c>
      <c r="H38" s="10" t="s">
        <v>217</v>
      </c>
      <c r="N38" s="10" t="s">
        <v>187</v>
      </c>
      <c r="O38" s="10" t="s">
        <v>154</v>
      </c>
      <c r="R38" s="10" t="s">
        <v>1</v>
      </c>
    </row>
    <row r="39" spans="1:18" x14ac:dyDescent="0.25">
      <c r="A39" s="14"/>
      <c r="B39" t="s">
        <v>146</v>
      </c>
      <c r="G39" s="10" t="s">
        <v>156</v>
      </c>
      <c r="H39" s="10" t="s">
        <v>156</v>
      </c>
      <c r="N39" s="10" t="s">
        <v>155</v>
      </c>
      <c r="O39" s="10" t="s">
        <v>155</v>
      </c>
      <c r="R39" s="10" t="s">
        <v>112</v>
      </c>
    </row>
    <row r="40" spans="1:18" x14ac:dyDescent="0.25">
      <c r="A40" s="14"/>
      <c r="B40" t="s">
        <v>146</v>
      </c>
      <c r="G40" s="15" t="s">
        <v>147</v>
      </c>
      <c r="N40" s="10" t="s">
        <v>156</v>
      </c>
      <c r="O40" s="10" t="s">
        <v>156</v>
      </c>
      <c r="R40" s="10" t="s">
        <v>426</v>
      </c>
    </row>
    <row r="41" spans="1:18" x14ac:dyDescent="0.25">
      <c r="A41" s="14"/>
      <c r="B41" t="s">
        <v>146</v>
      </c>
      <c r="G41" s="10" t="s">
        <v>161</v>
      </c>
      <c r="O41" s="10"/>
    </row>
    <row r="42" spans="1:18" x14ac:dyDescent="0.25">
      <c r="A42" s="14"/>
      <c r="B42" t="s">
        <v>146</v>
      </c>
      <c r="G42" s="10" t="s">
        <v>162</v>
      </c>
      <c r="O42" s="10"/>
    </row>
    <row r="43" spans="1:18" x14ac:dyDescent="0.25">
      <c r="A43" s="14"/>
      <c r="B43" t="s">
        <v>146</v>
      </c>
      <c r="G43" s="10" t="s">
        <v>163</v>
      </c>
      <c r="O43" s="10"/>
    </row>
    <row r="44" spans="1:18" x14ac:dyDescent="0.25">
      <c r="A44" s="14"/>
      <c r="B44" t="s">
        <v>146</v>
      </c>
      <c r="G44" s="10" t="s">
        <v>164</v>
      </c>
    </row>
    <row r="45" spans="1:18" x14ac:dyDescent="0.25">
      <c r="A45" s="14"/>
      <c r="B45" t="s">
        <v>146</v>
      </c>
      <c r="G45" s="16" t="s">
        <v>165</v>
      </c>
    </row>
    <row r="46" spans="1:18" x14ac:dyDescent="0.25">
      <c r="A46" s="14"/>
      <c r="B46" t="s">
        <v>146</v>
      </c>
      <c r="G46" s="16" t="s">
        <v>166</v>
      </c>
    </row>
    <row r="47" spans="1:18" x14ac:dyDescent="0.25">
      <c r="A47" s="14"/>
      <c r="B47" t="s">
        <v>146</v>
      </c>
      <c r="G47" s="16" t="s">
        <v>167</v>
      </c>
    </row>
    <row r="48" spans="1:18" x14ac:dyDescent="0.25">
      <c r="A48" s="14"/>
      <c r="B48" t="s">
        <v>146</v>
      </c>
      <c r="G48" s="16" t="s">
        <v>168</v>
      </c>
    </row>
    <row r="49" spans="1:31" x14ac:dyDescent="0.25">
      <c r="A49" s="14"/>
      <c r="B49" t="s">
        <v>146</v>
      </c>
      <c r="G49" s="16" t="s">
        <v>169</v>
      </c>
    </row>
    <row r="50" spans="1:31" x14ac:dyDescent="0.25">
      <c r="A50" s="14"/>
      <c r="B50" t="s">
        <v>146</v>
      </c>
      <c r="G50" s="16" t="s">
        <v>170</v>
      </c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5">
      <c r="A51" s="14"/>
      <c r="B51" t="s">
        <v>146</v>
      </c>
      <c r="G51" s="16" t="s">
        <v>171</v>
      </c>
    </row>
    <row r="52" spans="1:31" x14ac:dyDescent="0.25">
      <c r="A52" s="14"/>
      <c r="B52" t="s">
        <v>146</v>
      </c>
      <c r="G52" s="10" t="s">
        <v>172</v>
      </c>
    </row>
    <row r="53" spans="1:31" x14ac:dyDescent="0.25">
      <c r="A53" s="14"/>
      <c r="B53" t="s">
        <v>146</v>
      </c>
      <c r="E53" s="3"/>
      <c r="F53" s="3"/>
      <c r="G53" s="16" t="s">
        <v>173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31" x14ac:dyDescent="0.25">
      <c r="A54" s="14"/>
      <c r="B54" t="s">
        <v>146</v>
      </c>
      <c r="G54" s="16" t="s">
        <v>174</v>
      </c>
    </row>
    <row r="55" spans="1:31" x14ac:dyDescent="0.25">
      <c r="A55" s="14"/>
      <c r="B55" t="s">
        <v>146</v>
      </c>
      <c r="G55" s="16" t="s">
        <v>175</v>
      </c>
    </row>
    <row r="56" spans="1:31" x14ac:dyDescent="0.25">
      <c r="A56" s="14"/>
      <c r="B56" t="s">
        <v>146</v>
      </c>
      <c r="G56" s="16" t="s">
        <v>176</v>
      </c>
    </row>
    <row r="57" spans="1:31" x14ac:dyDescent="0.25">
      <c r="A57" s="14"/>
      <c r="B57" t="s">
        <v>146</v>
      </c>
      <c r="G57" s="16" t="s">
        <v>177</v>
      </c>
    </row>
    <row r="58" spans="1:31" x14ac:dyDescent="0.25">
      <c r="A58" s="14"/>
      <c r="B58" t="s">
        <v>146</v>
      </c>
      <c r="G58" s="16" t="s">
        <v>178</v>
      </c>
    </row>
    <row r="59" spans="1:31" x14ac:dyDescent="0.25">
      <c r="A59" s="14"/>
      <c r="B59" t="s">
        <v>146</v>
      </c>
      <c r="G59" s="16" t="s">
        <v>179</v>
      </c>
    </row>
    <row r="60" spans="1:31" x14ac:dyDescent="0.25">
      <c r="A60" s="14"/>
      <c r="B60" t="s">
        <v>146</v>
      </c>
      <c r="G60" s="16" t="s">
        <v>171</v>
      </c>
    </row>
    <row r="61" spans="1:31" x14ac:dyDescent="0.25">
      <c r="A61" s="14"/>
      <c r="B61" t="s">
        <v>146</v>
      </c>
      <c r="G61" s="10" t="s">
        <v>180</v>
      </c>
    </row>
    <row r="62" spans="1:31" x14ac:dyDescent="0.25">
      <c r="A62" s="14"/>
      <c r="B62" t="s">
        <v>146</v>
      </c>
      <c r="G62" s="10" t="s">
        <v>181</v>
      </c>
    </row>
    <row r="63" spans="1:31" x14ac:dyDescent="0.25">
      <c r="A63" s="14"/>
      <c r="B63" t="s">
        <v>146</v>
      </c>
      <c r="G63" s="7" t="s">
        <v>182</v>
      </c>
    </row>
    <row r="64" spans="1:31" x14ac:dyDescent="0.25">
      <c r="A64" s="14"/>
      <c r="B64" t="s">
        <v>146</v>
      </c>
      <c r="G64" s="10" t="s">
        <v>156</v>
      </c>
    </row>
    <row r="65" spans="1:23" x14ac:dyDescent="0.25">
      <c r="A65" s="14"/>
      <c r="B65" t="s">
        <v>146</v>
      </c>
    </row>
    <row r="66" spans="1:23" x14ac:dyDescent="0.25">
      <c r="A66" s="14"/>
      <c r="B66" t="s">
        <v>146</v>
      </c>
    </row>
    <row r="67" spans="1:23" x14ac:dyDescent="0.25">
      <c r="A67" s="14"/>
      <c r="B67" t="s">
        <v>146</v>
      </c>
    </row>
    <row r="68" spans="1:23" x14ac:dyDescent="0.25">
      <c r="A68" s="14"/>
      <c r="B68" t="s">
        <v>146</v>
      </c>
    </row>
    <row r="69" spans="1:23" x14ac:dyDescent="0.25">
      <c r="A69" s="14"/>
      <c r="B69" t="s">
        <v>146</v>
      </c>
    </row>
    <row r="71" spans="1:23" x14ac:dyDescent="0.25">
      <c r="A71" s="19"/>
      <c r="B71" t="s">
        <v>193</v>
      </c>
      <c r="E71" s="10" t="s">
        <v>428</v>
      </c>
      <c r="W71" s="20" t="s">
        <v>244</v>
      </c>
    </row>
    <row r="72" spans="1:23" x14ac:dyDescent="0.25">
      <c r="A72" s="19"/>
      <c r="B72" t="s">
        <v>193</v>
      </c>
      <c r="E72" s="20" t="s">
        <v>194</v>
      </c>
      <c r="W72" s="20" t="s">
        <v>194</v>
      </c>
    </row>
    <row r="73" spans="1:23" x14ac:dyDescent="0.25">
      <c r="A73" s="19"/>
      <c r="B73" t="s">
        <v>193</v>
      </c>
      <c r="E73" s="20" t="s">
        <v>195</v>
      </c>
      <c r="W73" s="20" t="s">
        <v>195</v>
      </c>
    </row>
    <row r="74" spans="1:23" x14ac:dyDescent="0.25">
      <c r="A74" s="19"/>
      <c r="B74" t="s">
        <v>193</v>
      </c>
      <c r="E74" s="10" t="s">
        <v>196</v>
      </c>
      <c r="W74" s="10" t="s">
        <v>196</v>
      </c>
    </row>
    <row r="75" spans="1:23" x14ac:dyDescent="0.25">
      <c r="A75" s="19"/>
      <c r="B75" t="s">
        <v>193</v>
      </c>
      <c r="E75" s="10" t="s">
        <v>111</v>
      </c>
      <c r="W75" s="10" t="s">
        <v>111</v>
      </c>
    </row>
    <row r="76" spans="1:23" x14ac:dyDescent="0.25">
      <c r="A76" s="19"/>
      <c r="B76" t="s">
        <v>193</v>
      </c>
      <c r="E76" s="10" t="s">
        <v>429</v>
      </c>
      <c r="W76" s="10" t="s">
        <v>429</v>
      </c>
    </row>
    <row r="77" spans="1:23" x14ac:dyDescent="0.25">
      <c r="A77" s="19"/>
      <c r="B77" t="s">
        <v>193</v>
      </c>
      <c r="E77" s="10" t="s">
        <v>197</v>
      </c>
      <c r="W77" s="10" t="s">
        <v>197</v>
      </c>
    </row>
    <row r="78" spans="1:23" x14ac:dyDescent="0.25">
      <c r="A78" s="19"/>
      <c r="B78" t="s">
        <v>193</v>
      </c>
      <c r="E78" s="10" t="s">
        <v>198</v>
      </c>
      <c r="W78" s="10" t="s">
        <v>198</v>
      </c>
    </row>
    <row r="79" spans="1:23" x14ac:dyDescent="0.25">
      <c r="A79" s="19"/>
      <c r="B79" t="s">
        <v>193</v>
      </c>
      <c r="E79" s="10" t="s">
        <v>1</v>
      </c>
      <c r="W79" s="10" t="s">
        <v>1</v>
      </c>
    </row>
    <row r="80" spans="1:23" x14ac:dyDescent="0.25">
      <c r="A80" s="19"/>
      <c r="B80" t="s">
        <v>193</v>
      </c>
      <c r="E80" s="10" t="s">
        <v>199</v>
      </c>
      <c r="W80" s="10" t="s">
        <v>199</v>
      </c>
    </row>
    <row r="81" spans="1:23" x14ac:dyDescent="0.25">
      <c r="A81" s="19"/>
      <c r="B81" t="s">
        <v>193</v>
      </c>
      <c r="E81" s="10" t="s">
        <v>430</v>
      </c>
      <c r="W81" s="10" t="s">
        <v>430</v>
      </c>
    </row>
    <row r="82" spans="1:23" x14ac:dyDescent="0.25">
      <c r="A82" s="19"/>
      <c r="B82" t="s">
        <v>193</v>
      </c>
      <c r="E82" s="10" t="s">
        <v>200</v>
      </c>
      <c r="W82" s="10" t="s">
        <v>200</v>
      </c>
    </row>
    <row r="83" spans="1:23" x14ac:dyDescent="0.25">
      <c r="A83" s="19"/>
      <c r="B83" t="s">
        <v>193</v>
      </c>
      <c r="E83" s="10" t="s">
        <v>432</v>
      </c>
      <c r="W83" s="10" t="s">
        <v>431</v>
      </c>
    </row>
    <row r="84" spans="1:23" x14ac:dyDescent="0.25">
      <c r="A84" s="19"/>
      <c r="B84" t="s">
        <v>193</v>
      </c>
      <c r="E84" s="10" t="s">
        <v>201</v>
      </c>
      <c r="W84" s="10" t="s">
        <v>201</v>
      </c>
    </row>
    <row r="85" spans="1:23" x14ac:dyDescent="0.25">
      <c r="A85" s="19"/>
      <c r="B85" t="s">
        <v>193</v>
      </c>
      <c r="E85" s="10" t="s">
        <v>202</v>
      </c>
      <c r="W85" s="10" t="s">
        <v>202</v>
      </c>
    </row>
    <row r="86" spans="1:23" x14ac:dyDescent="0.25">
      <c r="A86" s="19"/>
      <c r="B86" t="s">
        <v>193</v>
      </c>
      <c r="E86" s="10" t="s">
        <v>203</v>
      </c>
      <c r="W86" s="10" t="s">
        <v>203</v>
      </c>
    </row>
    <row r="87" spans="1:23" x14ac:dyDescent="0.25">
      <c r="A87" s="19"/>
      <c r="B87" t="s">
        <v>193</v>
      </c>
      <c r="E87" s="10" t="s">
        <v>204</v>
      </c>
      <c r="W87" s="10" t="s">
        <v>204</v>
      </c>
    </row>
    <row r="88" spans="1:23" x14ac:dyDescent="0.25">
      <c r="A88" s="19"/>
      <c r="B88" t="s">
        <v>193</v>
      </c>
      <c r="E88" s="10" t="s">
        <v>205</v>
      </c>
      <c r="W88" s="10" t="s">
        <v>205</v>
      </c>
    </row>
    <row r="89" spans="1:23" x14ac:dyDescent="0.25">
      <c r="A89" s="19"/>
      <c r="B89" t="s">
        <v>193</v>
      </c>
      <c r="E89" s="10" t="s">
        <v>177</v>
      </c>
      <c r="W89" s="10" t="s">
        <v>177</v>
      </c>
    </row>
    <row r="90" spans="1:23" x14ac:dyDescent="0.25">
      <c r="A90" s="19"/>
      <c r="B90" t="s">
        <v>193</v>
      </c>
      <c r="E90" s="10" t="s">
        <v>1</v>
      </c>
      <c r="W90" s="10" t="s">
        <v>1</v>
      </c>
    </row>
    <row r="91" spans="1:23" x14ac:dyDescent="0.25">
      <c r="A91" s="19"/>
      <c r="B91" t="s">
        <v>193</v>
      </c>
      <c r="E91" s="10" t="s">
        <v>206</v>
      </c>
      <c r="W91" s="10" t="s">
        <v>206</v>
      </c>
    </row>
    <row r="92" spans="1:23" x14ac:dyDescent="0.25">
      <c r="A92" s="19"/>
      <c r="B92" t="s">
        <v>193</v>
      </c>
      <c r="E92" s="10" t="s">
        <v>207</v>
      </c>
      <c r="W92" s="10" t="s">
        <v>207</v>
      </c>
    </row>
    <row r="93" spans="1:23" x14ac:dyDescent="0.25">
      <c r="A93" s="19"/>
      <c r="B93" t="s">
        <v>193</v>
      </c>
      <c r="E93" s="10" t="s">
        <v>1</v>
      </c>
      <c r="W93" s="10" t="s">
        <v>1</v>
      </c>
    </row>
    <row r="94" spans="1:23" x14ac:dyDescent="0.25">
      <c r="A94" s="19"/>
      <c r="B94" t="s">
        <v>193</v>
      </c>
      <c r="E94" s="10" t="s">
        <v>112</v>
      </c>
      <c r="W94" s="10" t="s">
        <v>112</v>
      </c>
    </row>
    <row r="95" spans="1:23" x14ac:dyDescent="0.25">
      <c r="A95" s="19"/>
      <c r="B95" t="s">
        <v>193</v>
      </c>
    </row>
    <row r="96" spans="1:23" x14ac:dyDescent="0.25">
      <c r="A96" s="19"/>
      <c r="B96" t="s">
        <v>193</v>
      </c>
    </row>
    <row r="97" spans="1:31" x14ac:dyDescent="0.25">
      <c r="A97" s="19"/>
      <c r="B97" t="s">
        <v>193</v>
      </c>
    </row>
    <row r="98" spans="1:31" x14ac:dyDescent="0.25">
      <c r="A98" s="19"/>
      <c r="B98" t="s">
        <v>193</v>
      </c>
    </row>
    <row r="99" spans="1:31" x14ac:dyDescent="0.25">
      <c r="A99" s="19"/>
      <c r="B99" t="s">
        <v>193</v>
      </c>
    </row>
    <row r="100" spans="1:31" x14ac:dyDescent="0.25">
      <c r="A100" s="19"/>
      <c r="B100" t="s">
        <v>193</v>
      </c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5">
      <c r="A101" s="19"/>
      <c r="B101" t="s">
        <v>193</v>
      </c>
    </row>
    <row r="102" spans="1:31" x14ac:dyDescent="0.25">
      <c r="A102" s="19"/>
      <c r="B102" t="s">
        <v>193</v>
      </c>
    </row>
    <row r="103" spans="1:31" x14ac:dyDescent="0.25">
      <c r="A103" s="19"/>
      <c r="B103" t="s">
        <v>193</v>
      </c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</row>
    <row r="104" spans="1:31" x14ac:dyDescent="0.25">
      <c r="A104" s="19"/>
      <c r="B104" t="s">
        <v>193</v>
      </c>
    </row>
    <row r="105" spans="1:31" x14ac:dyDescent="0.25">
      <c r="A105" s="19"/>
      <c r="B105" t="s">
        <v>193</v>
      </c>
    </row>
    <row r="106" spans="1:31" x14ac:dyDescent="0.25">
      <c r="A106" s="19"/>
      <c r="B106" t="s">
        <v>193</v>
      </c>
    </row>
    <row r="107" spans="1:31" x14ac:dyDescent="0.25">
      <c r="A107" s="19"/>
      <c r="B107" t="s">
        <v>193</v>
      </c>
    </row>
    <row r="108" spans="1:31" x14ac:dyDescent="0.25">
      <c r="A108" s="19"/>
      <c r="B108" t="s">
        <v>193</v>
      </c>
    </row>
    <row r="109" spans="1:31" x14ac:dyDescent="0.25">
      <c r="A109" s="19"/>
      <c r="B109" t="s">
        <v>193</v>
      </c>
    </row>
    <row r="110" spans="1:31" x14ac:dyDescent="0.25">
      <c r="A110" s="19"/>
      <c r="B110" t="s">
        <v>193</v>
      </c>
    </row>
    <row r="111" spans="1:31" x14ac:dyDescent="0.25">
      <c r="A111" s="19"/>
      <c r="B111" t="s">
        <v>193</v>
      </c>
    </row>
    <row r="112" spans="1:31" x14ac:dyDescent="0.25">
      <c r="A112" s="19"/>
      <c r="B112" t="s">
        <v>193</v>
      </c>
    </row>
    <row r="113" spans="1:2" x14ac:dyDescent="0.25">
      <c r="A113" s="19"/>
      <c r="B113" t="s">
        <v>193</v>
      </c>
    </row>
    <row r="114" spans="1:2" x14ac:dyDescent="0.25">
      <c r="A114" s="19"/>
      <c r="B114" t="s">
        <v>193</v>
      </c>
    </row>
    <row r="115" spans="1:2" x14ac:dyDescent="0.25">
      <c r="A115" s="19"/>
      <c r="B115" t="s">
        <v>193</v>
      </c>
    </row>
    <row r="116" spans="1:2" x14ac:dyDescent="0.25">
      <c r="A116" s="19"/>
      <c r="B116" t="s">
        <v>193</v>
      </c>
    </row>
    <row r="117" spans="1:2" x14ac:dyDescent="0.25">
      <c r="A117" s="19"/>
      <c r="B117" t="s">
        <v>193</v>
      </c>
    </row>
    <row r="118" spans="1:2" x14ac:dyDescent="0.25">
      <c r="A118" s="19"/>
      <c r="B118" t="s">
        <v>193</v>
      </c>
    </row>
    <row r="119" spans="1:2" x14ac:dyDescent="0.25">
      <c r="A119" s="19"/>
      <c r="B119" t="s">
        <v>193</v>
      </c>
    </row>
    <row r="120" spans="1:2" x14ac:dyDescent="0.25">
      <c r="A120" s="19"/>
      <c r="B120" t="s">
        <v>193</v>
      </c>
    </row>
    <row r="121" spans="1:2" x14ac:dyDescent="0.25">
      <c r="A121" s="19"/>
      <c r="B121" t="s">
        <v>193</v>
      </c>
    </row>
    <row r="122" spans="1:2" x14ac:dyDescent="0.25">
      <c r="A122" s="19"/>
      <c r="B122" t="s">
        <v>193</v>
      </c>
    </row>
    <row r="123" spans="1:2" x14ac:dyDescent="0.25">
      <c r="A123" s="19"/>
      <c r="B123" t="s">
        <v>193</v>
      </c>
    </row>
    <row r="124" spans="1:2" x14ac:dyDescent="0.25">
      <c r="A124" s="19"/>
      <c r="B124" t="s">
        <v>193</v>
      </c>
    </row>
    <row r="125" spans="1:2" x14ac:dyDescent="0.25">
      <c r="A125" s="19"/>
      <c r="B125" t="s">
        <v>193</v>
      </c>
    </row>
    <row r="126" spans="1:2" x14ac:dyDescent="0.25">
      <c r="A126" s="19"/>
      <c r="B126" t="s">
        <v>193</v>
      </c>
    </row>
    <row r="127" spans="1:2" x14ac:dyDescent="0.25">
      <c r="A127" s="19"/>
      <c r="B127" t="s">
        <v>193</v>
      </c>
    </row>
    <row r="128" spans="1:2" x14ac:dyDescent="0.25">
      <c r="A128" s="19"/>
      <c r="B128" t="s">
        <v>193</v>
      </c>
    </row>
    <row r="129" spans="1:2" x14ac:dyDescent="0.25">
      <c r="A129" s="19"/>
      <c r="B129" t="s">
        <v>193</v>
      </c>
    </row>
    <row r="130" spans="1:2" x14ac:dyDescent="0.25">
      <c r="A130" s="19"/>
      <c r="B130" t="s">
        <v>193</v>
      </c>
    </row>
    <row r="131" spans="1:2" x14ac:dyDescent="0.25">
      <c r="A131" s="19"/>
      <c r="B131" t="s">
        <v>193</v>
      </c>
    </row>
    <row r="132" spans="1:2" x14ac:dyDescent="0.25">
      <c r="A132" s="19"/>
      <c r="B132" t="s">
        <v>193</v>
      </c>
    </row>
    <row r="133" spans="1:2" x14ac:dyDescent="0.25">
      <c r="A133" s="19"/>
      <c r="B133" t="s">
        <v>193</v>
      </c>
    </row>
    <row r="134" spans="1:2" x14ac:dyDescent="0.25">
      <c r="A134" s="19"/>
      <c r="B134" t="s">
        <v>193</v>
      </c>
    </row>
    <row r="135" spans="1:2" x14ac:dyDescent="0.25">
      <c r="A135" s="19"/>
      <c r="B135" t="s">
        <v>193</v>
      </c>
    </row>
    <row r="136" spans="1:2" x14ac:dyDescent="0.25">
      <c r="A136" s="19"/>
      <c r="B136" t="s">
        <v>193</v>
      </c>
    </row>
    <row r="137" spans="1:2" x14ac:dyDescent="0.25">
      <c r="A137" s="19"/>
      <c r="B137" t="s">
        <v>193</v>
      </c>
    </row>
    <row r="138" spans="1:2" x14ac:dyDescent="0.25">
      <c r="A138" s="19"/>
      <c r="B138" t="s">
        <v>193</v>
      </c>
    </row>
    <row r="139" spans="1:2" x14ac:dyDescent="0.25">
      <c r="A139" s="19"/>
      <c r="B139" t="s">
        <v>193</v>
      </c>
    </row>
    <row r="140" spans="1:2" x14ac:dyDescent="0.25">
      <c r="A140" s="19"/>
      <c r="B140" t="s">
        <v>193</v>
      </c>
    </row>
    <row r="141" spans="1:2" x14ac:dyDescent="0.25">
      <c r="A141" s="19"/>
      <c r="B141" t="s">
        <v>193</v>
      </c>
    </row>
    <row r="142" spans="1:2" x14ac:dyDescent="0.25">
      <c r="A142" s="19"/>
      <c r="B142" t="s">
        <v>193</v>
      </c>
    </row>
    <row r="143" spans="1:2" x14ac:dyDescent="0.25">
      <c r="A143" s="19"/>
      <c r="B143" t="s">
        <v>193</v>
      </c>
    </row>
    <row r="144" spans="1:2" x14ac:dyDescent="0.25">
      <c r="A144" s="19"/>
      <c r="B144" t="s">
        <v>193</v>
      </c>
    </row>
    <row r="145" spans="1:31" x14ac:dyDescent="0.25">
      <c r="A145" s="19"/>
      <c r="B145" t="s">
        <v>193</v>
      </c>
    </row>
    <row r="146" spans="1:31" x14ac:dyDescent="0.25">
      <c r="A146" s="19"/>
      <c r="B146" t="s">
        <v>193</v>
      </c>
    </row>
    <row r="147" spans="1:31" x14ac:dyDescent="0.25">
      <c r="A147" s="19"/>
      <c r="B147" t="s">
        <v>193</v>
      </c>
    </row>
    <row r="148" spans="1:31" x14ac:dyDescent="0.25">
      <c r="A148" s="19"/>
      <c r="B148" t="s">
        <v>193</v>
      </c>
    </row>
    <row r="149" spans="1:31" x14ac:dyDescent="0.25">
      <c r="A149" s="19"/>
      <c r="B149" t="s">
        <v>193</v>
      </c>
    </row>
    <row r="150" spans="1:31" x14ac:dyDescent="0.25">
      <c r="A150" s="19"/>
      <c r="B150" t="s">
        <v>193</v>
      </c>
    </row>
    <row r="151" spans="1:31" ht="409.5" x14ac:dyDescent="0.25">
      <c r="A151" s="3" t="s">
        <v>218</v>
      </c>
      <c r="E151" s="3" t="s">
        <v>441</v>
      </c>
      <c r="F151" s="3" t="s">
        <v>455</v>
      </c>
      <c r="G151" s="3" t="s">
        <v>442</v>
      </c>
      <c r="H151" s="3" t="s">
        <v>443</v>
      </c>
      <c r="I151" s="3" t="s">
        <v>456</v>
      </c>
      <c r="J151" s="3" t="s">
        <v>457</v>
      </c>
      <c r="K151" s="3" t="s">
        <v>458</v>
      </c>
      <c r="L151" s="3" t="s">
        <v>444</v>
      </c>
      <c r="M151" s="3" t="s">
        <v>445</v>
      </c>
      <c r="N151" s="3" t="s">
        <v>446</v>
      </c>
      <c r="O151" s="3" t="s">
        <v>447</v>
      </c>
      <c r="P151" s="3" t="s">
        <v>448</v>
      </c>
      <c r="Q151" s="3" t="s">
        <v>475</v>
      </c>
      <c r="R151" s="3" t="s">
        <v>449</v>
      </c>
      <c r="S151" s="3" t="s">
        <v>450</v>
      </c>
      <c r="T151" s="3" t="s">
        <v>451</v>
      </c>
      <c r="U151" s="3" t="s">
        <v>452</v>
      </c>
      <c r="V151" s="3" t="s">
        <v>453</v>
      </c>
      <c r="W151" s="3" t="s">
        <v>454</v>
      </c>
      <c r="X151" s="3" t="s">
        <v>476</v>
      </c>
      <c r="Y151" s="3" t="s">
        <v>477</v>
      </c>
      <c r="Z151" s="3" t="s">
        <v>478</v>
      </c>
      <c r="AA151" s="3" t="s">
        <v>479</v>
      </c>
      <c r="AB151" s="3" t="s">
        <v>480</v>
      </c>
      <c r="AC151" s="3" t="s">
        <v>481</v>
      </c>
      <c r="AD151" s="3" t="s">
        <v>482</v>
      </c>
      <c r="AE151" s="3" t="s">
        <v>483</v>
      </c>
    </row>
    <row r="154" spans="1:31" ht="409.5" x14ac:dyDescent="0.25">
      <c r="E154" s="3" t="s">
        <v>219</v>
      </c>
      <c r="F154" s="3" t="s">
        <v>232</v>
      </c>
      <c r="G154" s="3" t="s">
        <v>220</v>
      </c>
      <c r="H154" s="3" t="s">
        <v>221</v>
      </c>
      <c r="I154" s="3" t="s">
        <v>222</v>
      </c>
      <c r="J154" s="3" t="s">
        <v>223</v>
      </c>
      <c r="K154" s="3" t="s">
        <v>224</v>
      </c>
      <c r="L154" s="3" t="s">
        <v>225</v>
      </c>
      <c r="M154" s="3" t="s">
        <v>236</v>
      </c>
      <c r="N154" s="3" t="s">
        <v>239</v>
      </c>
      <c r="O154" s="3" t="s">
        <v>240</v>
      </c>
      <c r="P154" s="3" t="s">
        <v>226</v>
      </c>
      <c r="Q154" s="3" t="s">
        <v>227</v>
      </c>
      <c r="R154" s="3" t="s">
        <v>427</v>
      </c>
      <c r="S154" s="3" t="s">
        <v>228</v>
      </c>
      <c r="T154" s="3" t="s">
        <v>229</v>
      </c>
      <c r="U154" s="3" t="s">
        <v>230</v>
      </c>
      <c r="V154" s="3" t="s">
        <v>231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94A56-089C-4806-82A8-D07B5281A5D5}">
  <sheetPr codeName="Sheet3"/>
  <dimension ref="A1:H363"/>
  <sheetViews>
    <sheetView topLeftCell="A151" workbookViewId="0">
      <selection activeCell="A6" sqref="A6"/>
    </sheetView>
  </sheetViews>
  <sheetFormatPr defaultRowHeight="15" x14ac:dyDescent="0.25"/>
  <cols>
    <col min="1" max="1" width="79.140625" bestFit="1" customWidth="1"/>
    <col min="2" max="2" width="46.85546875" bestFit="1" customWidth="1"/>
  </cols>
  <sheetData>
    <row r="1" spans="1:8" x14ac:dyDescent="0.25">
      <c r="A1" t="s">
        <v>110</v>
      </c>
      <c r="B1" s="5">
        <v>8</v>
      </c>
      <c r="E1" t="s">
        <v>401</v>
      </c>
      <c r="F1" t="s">
        <v>401</v>
      </c>
      <c r="G1" t="s">
        <v>401</v>
      </c>
      <c r="H1" t="s">
        <v>401</v>
      </c>
    </row>
    <row r="2" spans="1:8" x14ac:dyDescent="0.25">
      <c r="E2" t="s">
        <v>402</v>
      </c>
      <c r="F2" t="s">
        <v>404</v>
      </c>
      <c r="G2" t="s">
        <v>406</v>
      </c>
      <c r="H2" t="s">
        <v>408</v>
      </c>
    </row>
    <row r="3" spans="1:8" x14ac:dyDescent="0.25">
      <c r="A3" t="s">
        <v>243</v>
      </c>
      <c r="E3" t="s">
        <v>403</v>
      </c>
      <c r="F3" t="s">
        <v>405</v>
      </c>
      <c r="G3" t="s">
        <v>407</v>
      </c>
      <c r="H3" t="s">
        <v>409</v>
      </c>
    </row>
    <row r="5" spans="1:8" x14ac:dyDescent="0.25">
      <c r="A5" t="s">
        <v>305</v>
      </c>
      <c r="C5" t="s">
        <v>248</v>
      </c>
      <c r="E5" t="s">
        <v>314</v>
      </c>
      <c r="F5" t="s">
        <v>336</v>
      </c>
      <c r="G5" t="s">
        <v>357</v>
      </c>
      <c r="H5" t="s">
        <v>373</v>
      </c>
    </row>
    <row r="6" spans="1:8" x14ac:dyDescent="0.25">
      <c r="E6" t="s">
        <v>0</v>
      </c>
      <c r="F6" t="s">
        <v>0</v>
      </c>
      <c r="G6" t="s">
        <v>0</v>
      </c>
      <c r="H6" t="s">
        <v>0</v>
      </c>
    </row>
    <row r="7" spans="1:8" x14ac:dyDescent="0.25">
      <c r="A7" t="s">
        <v>268</v>
      </c>
      <c r="E7" t="s">
        <v>259</v>
      </c>
      <c r="F7" t="s">
        <v>337</v>
      </c>
      <c r="G7" t="s">
        <v>358</v>
      </c>
      <c r="H7" t="s">
        <v>374</v>
      </c>
    </row>
    <row r="8" spans="1:8" x14ac:dyDescent="0.25">
      <c r="A8" t="s">
        <v>292</v>
      </c>
      <c r="E8" t="s">
        <v>280</v>
      </c>
      <c r="F8" t="s">
        <v>297</v>
      </c>
      <c r="G8" t="s">
        <v>288</v>
      </c>
      <c r="H8" t="s">
        <v>250</v>
      </c>
    </row>
    <row r="9" spans="1:8" x14ac:dyDescent="0.25">
      <c r="A9" t="s">
        <v>306</v>
      </c>
      <c r="E9" t="s">
        <v>281</v>
      </c>
      <c r="F9" t="s">
        <v>262</v>
      </c>
      <c r="G9" t="s">
        <v>289</v>
      </c>
      <c r="H9" t="s">
        <v>375</v>
      </c>
    </row>
    <row r="10" spans="1:8" x14ac:dyDescent="0.25">
      <c r="A10" t="s">
        <v>307</v>
      </c>
      <c r="G10" t="s">
        <v>287</v>
      </c>
      <c r="H10" t="s">
        <v>330</v>
      </c>
    </row>
    <row r="11" spans="1:8" x14ac:dyDescent="0.25">
      <c r="A11" t="s">
        <v>293</v>
      </c>
      <c r="E11" t="s">
        <v>315</v>
      </c>
      <c r="F11" t="s">
        <v>328</v>
      </c>
      <c r="H11" t="s">
        <v>376</v>
      </c>
    </row>
    <row r="12" spans="1:8" x14ac:dyDescent="0.25">
      <c r="A12" t="s">
        <v>294</v>
      </c>
      <c r="E12" t="s">
        <v>316</v>
      </c>
      <c r="F12" t="s">
        <v>338</v>
      </c>
      <c r="G12" t="s">
        <v>359</v>
      </c>
      <c r="H12" t="s">
        <v>377</v>
      </c>
    </row>
    <row r="13" spans="1:8" x14ac:dyDescent="0.25">
      <c r="A13" t="s">
        <v>308</v>
      </c>
      <c r="E13" t="s">
        <v>245</v>
      </c>
      <c r="F13" t="s">
        <v>254</v>
      </c>
      <c r="G13" t="s">
        <v>261</v>
      </c>
      <c r="H13" t="s">
        <v>286</v>
      </c>
    </row>
    <row r="14" spans="1:8" x14ac:dyDescent="0.25">
      <c r="A14" t="s">
        <v>309</v>
      </c>
      <c r="F14" t="s">
        <v>245</v>
      </c>
      <c r="G14" t="s">
        <v>360</v>
      </c>
      <c r="H14" t="s">
        <v>254</v>
      </c>
    </row>
    <row r="15" spans="1:8" x14ac:dyDescent="0.25">
      <c r="A15" t="s">
        <v>269</v>
      </c>
      <c r="E15" t="s">
        <v>317</v>
      </c>
      <c r="G15" t="s">
        <v>361</v>
      </c>
      <c r="H15" t="s">
        <v>245</v>
      </c>
    </row>
    <row r="16" spans="1:8" x14ac:dyDescent="0.25">
      <c r="A16" t="s">
        <v>270</v>
      </c>
      <c r="E16" t="s">
        <v>284</v>
      </c>
      <c r="F16" t="s">
        <v>339</v>
      </c>
      <c r="G16" t="s">
        <v>257</v>
      </c>
    </row>
    <row r="17" spans="1:8" x14ac:dyDescent="0.25">
      <c r="A17" t="s">
        <v>271</v>
      </c>
      <c r="E17" t="s">
        <v>283</v>
      </c>
      <c r="F17" t="s">
        <v>297</v>
      </c>
      <c r="G17" t="s">
        <v>245</v>
      </c>
      <c r="H17" t="s">
        <v>378</v>
      </c>
    </row>
    <row r="18" spans="1:8" x14ac:dyDescent="0.25">
      <c r="A18" t="s">
        <v>272</v>
      </c>
      <c r="E18" t="s">
        <v>285</v>
      </c>
      <c r="F18" t="s">
        <v>262</v>
      </c>
      <c r="H18" t="s">
        <v>250</v>
      </c>
    </row>
    <row r="19" spans="1:8" x14ac:dyDescent="0.25">
      <c r="A19" t="s">
        <v>273</v>
      </c>
      <c r="G19" t="s">
        <v>299</v>
      </c>
      <c r="H19" t="s">
        <v>375</v>
      </c>
    </row>
    <row r="20" spans="1:8" x14ac:dyDescent="0.25">
      <c r="A20" t="s">
        <v>274</v>
      </c>
      <c r="E20" t="s">
        <v>318</v>
      </c>
      <c r="F20" t="s">
        <v>328</v>
      </c>
      <c r="G20" t="s">
        <v>288</v>
      </c>
      <c r="H20" t="s">
        <v>330</v>
      </c>
    </row>
    <row r="21" spans="1:8" x14ac:dyDescent="0.25">
      <c r="A21" t="s">
        <v>275</v>
      </c>
      <c r="E21" t="s">
        <v>261</v>
      </c>
      <c r="F21" t="s">
        <v>338</v>
      </c>
      <c r="G21" t="s">
        <v>289</v>
      </c>
      <c r="H21" t="s">
        <v>376</v>
      </c>
    </row>
    <row r="22" spans="1:8" x14ac:dyDescent="0.25">
      <c r="A22" t="s">
        <v>276</v>
      </c>
      <c r="E22" t="s">
        <v>319</v>
      </c>
      <c r="F22" t="s">
        <v>340</v>
      </c>
      <c r="G22" t="s">
        <v>287</v>
      </c>
      <c r="H22" t="s">
        <v>379</v>
      </c>
    </row>
    <row r="23" spans="1:8" x14ac:dyDescent="0.25">
      <c r="E23" t="s">
        <v>320</v>
      </c>
      <c r="F23" t="s">
        <v>341</v>
      </c>
      <c r="H23" t="s">
        <v>286</v>
      </c>
    </row>
    <row r="24" spans="1:8" x14ac:dyDescent="0.25">
      <c r="E24" t="s">
        <v>257</v>
      </c>
      <c r="F24" t="s">
        <v>342</v>
      </c>
      <c r="G24" t="s">
        <v>362</v>
      </c>
      <c r="H24" t="s">
        <v>254</v>
      </c>
    </row>
    <row r="25" spans="1:8" x14ac:dyDescent="0.25">
      <c r="A25" t="s">
        <v>244</v>
      </c>
      <c r="C25" t="s">
        <v>249</v>
      </c>
      <c r="E25" t="s">
        <v>245</v>
      </c>
      <c r="F25" t="s">
        <v>343</v>
      </c>
      <c r="G25" t="s">
        <v>261</v>
      </c>
      <c r="H25" t="s">
        <v>245</v>
      </c>
    </row>
    <row r="26" spans="1:8" x14ac:dyDescent="0.25">
      <c r="A26" t="s">
        <v>278</v>
      </c>
      <c r="F26" t="s">
        <v>344</v>
      </c>
      <c r="G26" t="s">
        <v>360</v>
      </c>
    </row>
    <row r="27" spans="1:8" x14ac:dyDescent="0.25">
      <c r="A27" t="s">
        <v>310</v>
      </c>
      <c r="E27" t="s">
        <v>321</v>
      </c>
      <c r="F27" t="s">
        <v>254</v>
      </c>
      <c r="G27" t="s">
        <v>361</v>
      </c>
      <c r="H27" t="s">
        <v>380</v>
      </c>
    </row>
    <row r="28" spans="1:8" x14ac:dyDescent="0.25">
      <c r="A28" t="s">
        <v>278</v>
      </c>
      <c r="E28" t="s">
        <v>297</v>
      </c>
      <c r="F28" t="s">
        <v>245</v>
      </c>
      <c r="G28" t="s">
        <v>257</v>
      </c>
      <c r="H28" t="s">
        <v>250</v>
      </c>
    </row>
    <row r="29" spans="1:8" x14ac:dyDescent="0.25">
      <c r="A29" t="s">
        <v>279</v>
      </c>
      <c r="E29" t="s">
        <v>285</v>
      </c>
      <c r="G29" t="s">
        <v>245</v>
      </c>
      <c r="H29" t="s">
        <v>375</v>
      </c>
    </row>
    <row r="30" spans="1:8" x14ac:dyDescent="0.25">
      <c r="F30" t="s">
        <v>345</v>
      </c>
      <c r="H30" t="s">
        <v>330</v>
      </c>
    </row>
    <row r="31" spans="1:8" x14ac:dyDescent="0.25">
      <c r="A31" t="s">
        <v>277</v>
      </c>
      <c r="E31" t="s">
        <v>322</v>
      </c>
      <c r="F31" t="s">
        <v>297</v>
      </c>
      <c r="G31" t="s">
        <v>304</v>
      </c>
      <c r="H31" t="s">
        <v>376</v>
      </c>
    </row>
    <row r="32" spans="1:8" x14ac:dyDescent="0.25">
      <c r="A32" t="s">
        <v>278</v>
      </c>
      <c r="E32" t="s">
        <v>323</v>
      </c>
      <c r="F32" t="s">
        <v>262</v>
      </c>
      <c r="G32" t="s">
        <v>288</v>
      </c>
      <c r="H32" t="s">
        <v>381</v>
      </c>
    </row>
    <row r="33" spans="1:8" x14ac:dyDescent="0.25">
      <c r="A33" t="s">
        <v>311</v>
      </c>
      <c r="E33" t="s">
        <v>245</v>
      </c>
      <c r="G33" t="s">
        <v>287</v>
      </c>
      <c r="H33" t="s">
        <v>286</v>
      </c>
    </row>
    <row r="34" spans="1:8" x14ac:dyDescent="0.25">
      <c r="A34" t="s">
        <v>278</v>
      </c>
      <c r="F34" t="s">
        <v>328</v>
      </c>
      <c r="H34" t="s">
        <v>254</v>
      </c>
    </row>
    <row r="35" spans="1:8" x14ac:dyDescent="0.25">
      <c r="A35" t="s">
        <v>291</v>
      </c>
      <c r="E35" t="s">
        <v>324</v>
      </c>
      <c r="F35" t="s">
        <v>338</v>
      </c>
      <c r="G35" t="s">
        <v>363</v>
      </c>
      <c r="H35" t="s">
        <v>245</v>
      </c>
    </row>
    <row r="36" spans="1:8" x14ac:dyDescent="0.25">
      <c r="A36" t="s">
        <v>312</v>
      </c>
      <c r="E36" t="s">
        <v>284</v>
      </c>
      <c r="F36" t="s">
        <v>340</v>
      </c>
      <c r="G36" t="s">
        <v>364</v>
      </c>
    </row>
    <row r="37" spans="1:8" x14ac:dyDescent="0.25">
      <c r="A37" t="s">
        <v>313</v>
      </c>
      <c r="E37" t="s">
        <v>281</v>
      </c>
      <c r="F37" t="s">
        <v>346</v>
      </c>
      <c r="G37" t="s">
        <v>245</v>
      </c>
      <c r="H37" t="s">
        <v>382</v>
      </c>
    </row>
    <row r="38" spans="1:8" x14ac:dyDescent="0.25">
      <c r="A38" t="s">
        <v>291</v>
      </c>
      <c r="F38" t="s">
        <v>347</v>
      </c>
      <c r="H38" t="s">
        <v>250</v>
      </c>
    </row>
    <row r="39" spans="1:8" x14ac:dyDescent="0.25">
      <c r="A39" t="s">
        <v>279</v>
      </c>
      <c r="E39" t="s">
        <v>325</v>
      </c>
      <c r="F39" t="s">
        <v>344</v>
      </c>
      <c r="G39" t="s">
        <v>365</v>
      </c>
      <c r="H39" t="s">
        <v>383</v>
      </c>
    </row>
    <row r="40" spans="1:8" x14ac:dyDescent="0.25">
      <c r="E40" t="s">
        <v>323</v>
      </c>
      <c r="F40" t="s">
        <v>254</v>
      </c>
      <c r="G40" t="s">
        <v>288</v>
      </c>
      <c r="H40" t="s">
        <v>330</v>
      </c>
    </row>
    <row r="41" spans="1:8" x14ac:dyDescent="0.25">
      <c r="A41" t="s">
        <v>314</v>
      </c>
      <c r="C41" t="s">
        <v>246</v>
      </c>
      <c r="E41" t="s">
        <v>245</v>
      </c>
      <c r="F41" t="s">
        <v>245</v>
      </c>
      <c r="G41" t="s">
        <v>258</v>
      </c>
      <c r="H41" t="s">
        <v>376</v>
      </c>
    </row>
    <row r="42" spans="1:8" x14ac:dyDescent="0.25">
      <c r="A42" t="s">
        <v>0</v>
      </c>
      <c r="H42" t="s">
        <v>384</v>
      </c>
    </row>
    <row r="43" spans="1:8" x14ac:dyDescent="0.25">
      <c r="A43" t="s">
        <v>259</v>
      </c>
      <c r="E43" t="s">
        <v>326</v>
      </c>
      <c r="F43" t="s">
        <v>348</v>
      </c>
      <c r="G43" t="s">
        <v>366</v>
      </c>
      <c r="H43" t="s">
        <v>286</v>
      </c>
    </row>
    <row r="44" spans="1:8" x14ac:dyDescent="0.25">
      <c r="A44" t="s">
        <v>280</v>
      </c>
      <c r="E44" t="s">
        <v>297</v>
      </c>
      <c r="F44" t="s">
        <v>297</v>
      </c>
      <c r="G44" t="s">
        <v>298</v>
      </c>
      <c r="H44" t="s">
        <v>254</v>
      </c>
    </row>
    <row r="45" spans="1:8" x14ac:dyDescent="0.25">
      <c r="A45" t="s">
        <v>281</v>
      </c>
      <c r="E45" t="s">
        <v>327</v>
      </c>
      <c r="F45" t="s">
        <v>263</v>
      </c>
      <c r="G45" t="s">
        <v>253</v>
      </c>
      <c r="H45" t="s">
        <v>245</v>
      </c>
    </row>
    <row r="46" spans="1:8" x14ac:dyDescent="0.25">
      <c r="G46" t="s">
        <v>245</v>
      </c>
    </row>
    <row r="47" spans="1:8" x14ac:dyDescent="0.25">
      <c r="A47" t="s">
        <v>315</v>
      </c>
      <c r="E47" t="s">
        <v>328</v>
      </c>
      <c r="F47" t="s">
        <v>349</v>
      </c>
      <c r="H47" t="s">
        <v>385</v>
      </c>
    </row>
    <row r="48" spans="1:8" x14ac:dyDescent="0.25">
      <c r="A48" t="s">
        <v>316</v>
      </c>
      <c r="E48" t="s">
        <v>329</v>
      </c>
      <c r="G48" t="s">
        <v>367</v>
      </c>
      <c r="H48" t="s">
        <v>250</v>
      </c>
    </row>
    <row r="49" spans="1:8" x14ac:dyDescent="0.25">
      <c r="A49" t="s">
        <v>245</v>
      </c>
      <c r="E49" t="s">
        <v>295</v>
      </c>
      <c r="F49" t="s">
        <v>264</v>
      </c>
      <c r="G49" t="s">
        <v>288</v>
      </c>
      <c r="H49" t="s">
        <v>386</v>
      </c>
    </row>
    <row r="50" spans="1:8" x14ac:dyDescent="0.25">
      <c r="E50" t="s">
        <v>282</v>
      </c>
      <c r="F50" t="s">
        <v>265</v>
      </c>
      <c r="G50" t="s">
        <v>289</v>
      </c>
      <c r="H50" t="s">
        <v>330</v>
      </c>
    </row>
    <row r="51" spans="1:8" x14ac:dyDescent="0.25">
      <c r="A51" t="s">
        <v>317</v>
      </c>
      <c r="E51" t="s">
        <v>330</v>
      </c>
      <c r="F51" t="s">
        <v>252</v>
      </c>
      <c r="G51" t="s">
        <v>258</v>
      </c>
      <c r="H51" t="s">
        <v>376</v>
      </c>
    </row>
    <row r="52" spans="1:8" x14ac:dyDescent="0.25">
      <c r="A52" t="s">
        <v>284</v>
      </c>
      <c r="E52" t="s">
        <v>331</v>
      </c>
      <c r="H52" t="s">
        <v>387</v>
      </c>
    </row>
    <row r="53" spans="1:8" x14ac:dyDescent="0.25">
      <c r="A53" t="s">
        <v>283</v>
      </c>
      <c r="E53" t="s">
        <v>332</v>
      </c>
      <c r="F53" t="s">
        <v>266</v>
      </c>
      <c r="G53" t="s">
        <v>255</v>
      </c>
      <c r="H53" t="s">
        <v>286</v>
      </c>
    </row>
    <row r="54" spans="1:8" x14ac:dyDescent="0.25">
      <c r="A54" t="s">
        <v>285</v>
      </c>
      <c r="E54" t="s">
        <v>333</v>
      </c>
      <c r="F54" t="s">
        <v>350</v>
      </c>
      <c r="G54" t="s">
        <v>368</v>
      </c>
      <c r="H54" t="s">
        <v>254</v>
      </c>
    </row>
    <row r="55" spans="1:8" x14ac:dyDescent="0.25">
      <c r="E55" t="s">
        <v>286</v>
      </c>
      <c r="F55" t="s">
        <v>267</v>
      </c>
      <c r="G55" t="s">
        <v>256</v>
      </c>
      <c r="H55" t="s">
        <v>245</v>
      </c>
    </row>
    <row r="56" spans="1:8" x14ac:dyDescent="0.25">
      <c r="A56" t="s">
        <v>318</v>
      </c>
      <c r="E56" t="s">
        <v>296</v>
      </c>
      <c r="F56" t="s">
        <v>253</v>
      </c>
      <c r="G56" t="s">
        <v>300</v>
      </c>
    </row>
    <row r="57" spans="1:8" x14ac:dyDescent="0.25">
      <c r="A57" t="s">
        <v>261</v>
      </c>
      <c r="E57" t="s">
        <v>251</v>
      </c>
      <c r="F57" t="s">
        <v>245</v>
      </c>
      <c r="G57" t="s">
        <v>252</v>
      </c>
      <c r="H57" t="s">
        <v>388</v>
      </c>
    </row>
    <row r="58" spans="1:8" x14ac:dyDescent="0.25">
      <c r="A58" t="s">
        <v>319</v>
      </c>
      <c r="E58" t="s">
        <v>245</v>
      </c>
      <c r="H58" t="s">
        <v>250</v>
      </c>
    </row>
    <row r="59" spans="1:8" x14ac:dyDescent="0.25">
      <c r="A59" t="s">
        <v>320</v>
      </c>
      <c r="E59" t="s">
        <v>2</v>
      </c>
      <c r="F59" t="s">
        <v>351</v>
      </c>
      <c r="G59" t="s">
        <v>369</v>
      </c>
      <c r="H59" t="s">
        <v>386</v>
      </c>
    </row>
    <row r="60" spans="1:8" x14ac:dyDescent="0.25">
      <c r="A60" t="s">
        <v>257</v>
      </c>
      <c r="F60" t="s">
        <v>297</v>
      </c>
      <c r="G60" t="s">
        <v>370</v>
      </c>
      <c r="H60" t="s">
        <v>330</v>
      </c>
    </row>
    <row r="61" spans="1:8" x14ac:dyDescent="0.25">
      <c r="A61" t="s">
        <v>245</v>
      </c>
      <c r="F61" t="s">
        <v>258</v>
      </c>
      <c r="G61" t="s">
        <v>301</v>
      </c>
      <c r="H61" t="s">
        <v>376</v>
      </c>
    </row>
    <row r="62" spans="1:8" x14ac:dyDescent="0.25">
      <c r="G62" t="s">
        <v>290</v>
      </c>
      <c r="H62" t="s">
        <v>389</v>
      </c>
    </row>
    <row r="63" spans="1:8" x14ac:dyDescent="0.25">
      <c r="A63" t="s">
        <v>321</v>
      </c>
      <c r="F63" t="s">
        <v>352</v>
      </c>
      <c r="G63" t="s">
        <v>302</v>
      </c>
      <c r="H63" t="s">
        <v>286</v>
      </c>
    </row>
    <row r="64" spans="1:8" x14ac:dyDescent="0.25">
      <c r="A64" t="s">
        <v>297</v>
      </c>
      <c r="F64" t="s">
        <v>353</v>
      </c>
      <c r="G64" t="s">
        <v>303</v>
      </c>
      <c r="H64" t="s">
        <v>254</v>
      </c>
    </row>
    <row r="65" spans="1:8" x14ac:dyDescent="0.25">
      <c r="A65" t="s">
        <v>285</v>
      </c>
      <c r="F65" t="s">
        <v>354</v>
      </c>
      <c r="G65" t="s">
        <v>286</v>
      </c>
      <c r="H65" t="s">
        <v>245</v>
      </c>
    </row>
    <row r="66" spans="1:8" x14ac:dyDescent="0.25">
      <c r="F66" t="s">
        <v>245</v>
      </c>
      <c r="G66" t="s">
        <v>260</v>
      </c>
    </row>
    <row r="67" spans="1:8" x14ac:dyDescent="0.25">
      <c r="A67" t="s">
        <v>322</v>
      </c>
      <c r="F67" t="s">
        <v>2</v>
      </c>
      <c r="G67" t="s">
        <v>245</v>
      </c>
      <c r="H67" t="s">
        <v>390</v>
      </c>
    </row>
    <row r="68" spans="1:8" x14ac:dyDescent="0.25">
      <c r="A68" t="s">
        <v>323</v>
      </c>
      <c r="G68" t="s">
        <v>2</v>
      </c>
      <c r="H68" t="s">
        <v>250</v>
      </c>
    </row>
    <row r="69" spans="1:8" x14ac:dyDescent="0.25">
      <c r="A69" t="s">
        <v>245</v>
      </c>
      <c r="H69" t="s">
        <v>386</v>
      </c>
    </row>
    <row r="70" spans="1:8" x14ac:dyDescent="0.25">
      <c r="H70" t="s">
        <v>330</v>
      </c>
    </row>
    <row r="71" spans="1:8" x14ac:dyDescent="0.25">
      <c r="A71" t="s">
        <v>324</v>
      </c>
      <c r="H71" t="s">
        <v>376</v>
      </c>
    </row>
    <row r="72" spans="1:8" x14ac:dyDescent="0.25">
      <c r="A72" t="s">
        <v>284</v>
      </c>
      <c r="H72" t="s">
        <v>391</v>
      </c>
    </row>
    <row r="73" spans="1:8" x14ac:dyDescent="0.25">
      <c r="A73" t="s">
        <v>281</v>
      </c>
      <c r="H73" t="s">
        <v>286</v>
      </c>
    </row>
    <row r="74" spans="1:8" x14ac:dyDescent="0.25">
      <c r="H74" t="s">
        <v>254</v>
      </c>
    </row>
    <row r="75" spans="1:8" x14ac:dyDescent="0.25">
      <c r="A75" t="s">
        <v>325</v>
      </c>
      <c r="H75" t="s">
        <v>245</v>
      </c>
    </row>
    <row r="76" spans="1:8" x14ac:dyDescent="0.25">
      <c r="A76" t="s">
        <v>323</v>
      </c>
    </row>
    <row r="77" spans="1:8" x14ac:dyDescent="0.25">
      <c r="A77" t="s">
        <v>245</v>
      </c>
      <c r="H77" t="s">
        <v>392</v>
      </c>
    </row>
    <row r="78" spans="1:8" x14ac:dyDescent="0.25">
      <c r="H78" t="s">
        <v>250</v>
      </c>
    </row>
    <row r="79" spans="1:8" x14ac:dyDescent="0.25">
      <c r="A79" t="s">
        <v>326</v>
      </c>
      <c r="H79" t="s">
        <v>393</v>
      </c>
    </row>
    <row r="80" spans="1:8" x14ac:dyDescent="0.25">
      <c r="A80" t="s">
        <v>297</v>
      </c>
      <c r="H80" t="s">
        <v>254</v>
      </c>
    </row>
    <row r="81" spans="1:8" x14ac:dyDescent="0.25">
      <c r="A81" t="s">
        <v>327</v>
      </c>
    </row>
    <row r="82" spans="1:8" x14ac:dyDescent="0.25">
      <c r="H82" t="s">
        <v>264</v>
      </c>
    </row>
    <row r="83" spans="1:8" x14ac:dyDescent="0.25">
      <c r="A83" t="s">
        <v>328</v>
      </c>
      <c r="H83" t="s">
        <v>265</v>
      </c>
    </row>
    <row r="84" spans="1:8" x14ac:dyDescent="0.25">
      <c r="A84" t="s">
        <v>329</v>
      </c>
      <c r="H84" t="s">
        <v>252</v>
      </c>
    </row>
    <row r="85" spans="1:8" x14ac:dyDescent="0.25">
      <c r="A85" t="s">
        <v>295</v>
      </c>
    </row>
    <row r="86" spans="1:8" x14ac:dyDescent="0.25">
      <c r="A86" t="s">
        <v>282</v>
      </c>
      <c r="H86" t="s">
        <v>394</v>
      </c>
    </row>
    <row r="87" spans="1:8" x14ac:dyDescent="0.25">
      <c r="A87" t="s">
        <v>330</v>
      </c>
      <c r="H87" t="s">
        <v>330</v>
      </c>
    </row>
    <row r="88" spans="1:8" x14ac:dyDescent="0.25">
      <c r="A88" t="s">
        <v>331</v>
      </c>
      <c r="H88" t="s">
        <v>376</v>
      </c>
    </row>
    <row r="89" spans="1:8" x14ac:dyDescent="0.25">
      <c r="A89" t="s">
        <v>332</v>
      </c>
      <c r="H89" t="s">
        <v>379</v>
      </c>
    </row>
    <row r="90" spans="1:8" x14ac:dyDescent="0.25">
      <c r="A90" t="s">
        <v>333</v>
      </c>
      <c r="H90" t="s">
        <v>286</v>
      </c>
    </row>
    <row r="91" spans="1:8" x14ac:dyDescent="0.25">
      <c r="A91" t="s">
        <v>286</v>
      </c>
      <c r="H91" t="s">
        <v>254</v>
      </c>
    </row>
    <row r="92" spans="1:8" x14ac:dyDescent="0.25">
      <c r="A92" t="s">
        <v>296</v>
      </c>
    </row>
    <row r="93" spans="1:8" x14ac:dyDescent="0.25">
      <c r="A93" t="s">
        <v>251</v>
      </c>
      <c r="H93" t="s">
        <v>266</v>
      </c>
    </row>
    <row r="94" spans="1:8" x14ac:dyDescent="0.25">
      <c r="A94" t="s">
        <v>245</v>
      </c>
      <c r="H94" t="s">
        <v>395</v>
      </c>
    </row>
    <row r="95" spans="1:8" x14ac:dyDescent="0.25">
      <c r="A95" t="s">
        <v>2</v>
      </c>
      <c r="C95" t="s">
        <v>247</v>
      </c>
      <c r="H95" t="s">
        <v>267</v>
      </c>
    </row>
    <row r="96" spans="1:8" x14ac:dyDescent="0.25">
      <c r="H96" t="s">
        <v>253</v>
      </c>
    </row>
    <row r="97" spans="1:8" x14ac:dyDescent="0.25">
      <c r="A97" t="s">
        <v>277</v>
      </c>
      <c r="H97" t="s">
        <v>245</v>
      </c>
    </row>
    <row r="98" spans="1:8" x14ac:dyDescent="0.25">
      <c r="A98" t="s">
        <v>278</v>
      </c>
    </row>
    <row r="99" spans="1:8" x14ac:dyDescent="0.25">
      <c r="A99" t="s">
        <v>334</v>
      </c>
      <c r="H99" t="s">
        <v>396</v>
      </c>
    </row>
    <row r="100" spans="1:8" x14ac:dyDescent="0.25">
      <c r="A100" t="s">
        <v>278</v>
      </c>
      <c r="H100" t="s">
        <v>250</v>
      </c>
    </row>
    <row r="101" spans="1:8" x14ac:dyDescent="0.25">
      <c r="A101" t="s">
        <v>291</v>
      </c>
      <c r="H101" t="s">
        <v>397</v>
      </c>
    </row>
    <row r="102" spans="1:8" x14ac:dyDescent="0.25">
      <c r="A102" t="s">
        <v>335</v>
      </c>
    </row>
    <row r="103" spans="1:8" x14ac:dyDescent="0.25">
      <c r="A103" t="s">
        <v>291</v>
      </c>
      <c r="H103" t="s">
        <v>398</v>
      </c>
    </row>
    <row r="104" spans="1:8" x14ac:dyDescent="0.25">
      <c r="A104" t="s">
        <v>279</v>
      </c>
      <c r="H104" t="s">
        <v>265</v>
      </c>
    </row>
    <row r="105" spans="1:8" x14ac:dyDescent="0.25">
      <c r="H105" t="s">
        <v>252</v>
      </c>
    </row>
    <row r="106" spans="1:8" x14ac:dyDescent="0.25">
      <c r="A106" t="s">
        <v>336</v>
      </c>
      <c r="C106" t="s">
        <v>246</v>
      </c>
    </row>
    <row r="107" spans="1:8" x14ac:dyDescent="0.25">
      <c r="A107" t="s">
        <v>0</v>
      </c>
      <c r="H107" t="s">
        <v>399</v>
      </c>
    </row>
    <row r="108" spans="1:8" x14ac:dyDescent="0.25">
      <c r="A108" t="s">
        <v>337</v>
      </c>
      <c r="H108" t="s">
        <v>254</v>
      </c>
    </row>
    <row r="109" spans="1:8" x14ac:dyDescent="0.25">
      <c r="A109" t="s">
        <v>297</v>
      </c>
    </row>
    <row r="110" spans="1:8" x14ac:dyDescent="0.25">
      <c r="A110" t="s">
        <v>262</v>
      </c>
      <c r="H110" t="s">
        <v>266</v>
      </c>
    </row>
    <row r="111" spans="1:8" x14ac:dyDescent="0.25">
      <c r="H111" t="s">
        <v>400</v>
      </c>
    </row>
    <row r="112" spans="1:8" x14ac:dyDescent="0.25">
      <c r="A112" t="s">
        <v>328</v>
      </c>
      <c r="H112" t="s">
        <v>267</v>
      </c>
    </row>
    <row r="113" spans="1:8" x14ac:dyDescent="0.25">
      <c r="A113" t="s">
        <v>338</v>
      </c>
      <c r="H113" t="s">
        <v>253</v>
      </c>
    </row>
    <row r="114" spans="1:8" x14ac:dyDescent="0.25">
      <c r="A114" t="s">
        <v>254</v>
      </c>
      <c r="H114" t="s">
        <v>245</v>
      </c>
    </row>
    <row r="115" spans="1:8" x14ac:dyDescent="0.25">
      <c r="A115" t="s">
        <v>245</v>
      </c>
      <c r="H115" t="s">
        <v>2</v>
      </c>
    </row>
    <row r="117" spans="1:8" x14ac:dyDescent="0.25">
      <c r="A117" t="s">
        <v>339</v>
      </c>
    </row>
    <row r="118" spans="1:8" x14ac:dyDescent="0.25">
      <c r="A118" t="s">
        <v>297</v>
      </c>
    </row>
    <row r="119" spans="1:8" x14ac:dyDescent="0.25">
      <c r="A119" t="s">
        <v>262</v>
      </c>
    </row>
    <row r="121" spans="1:8" x14ac:dyDescent="0.25">
      <c r="A121" t="s">
        <v>328</v>
      </c>
    </row>
    <row r="122" spans="1:8" x14ac:dyDescent="0.25">
      <c r="A122" t="s">
        <v>338</v>
      </c>
    </row>
    <row r="123" spans="1:8" x14ac:dyDescent="0.25">
      <c r="A123" t="s">
        <v>340</v>
      </c>
    </row>
    <row r="124" spans="1:8" x14ac:dyDescent="0.25">
      <c r="A124" t="s">
        <v>341</v>
      </c>
    </row>
    <row r="125" spans="1:8" x14ac:dyDescent="0.25">
      <c r="A125" t="s">
        <v>342</v>
      </c>
    </row>
    <row r="126" spans="1:8" x14ac:dyDescent="0.25">
      <c r="A126" t="s">
        <v>343</v>
      </c>
    </row>
    <row r="127" spans="1:8" x14ac:dyDescent="0.25">
      <c r="A127" t="s">
        <v>344</v>
      </c>
    </row>
    <row r="128" spans="1:8" x14ac:dyDescent="0.25">
      <c r="A128" t="s">
        <v>254</v>
      </c>
    </row>
    <row r="129" spans="1:1" x14ac:dyDescent="0.25">
      <c r="A129" t="s">
        <v>245</v>
      </c>
    </row>
    <row r="131" spans="1:1" x14ac:dyDescent="0.25">
      <c r="A131" t="s">
        <v>345</v>
      </c>
    </row>
    <row r="132" spans="1:1" x14ac:dyDescent="0.25">
      <c r="A132" t="s">
        <v>297</v>
      </c>
    </row>
    <row r="133" spans="1:1" x14ac:dyDescent="0.25">
      <c r="A133" t="s">
        <v>262</v>
      </c>
    </row>
    <row r="135" spans="1:1" x14ac:dyDescent="0.25">
      <c r="A135" t="s">
        <v>328</v>
      </c>
    </row>
    <row r="136" spans="1:1" x14ac:dyDescent="0.25">
      <c r="A136" t="s">
        <v>338</v>
      </c>
    </row>
    <row r="137" spans="1:1" x14ac:dyDescent="0.25">
      <c r="A137" t="s">
        <v>340</v>
      </c>
    </row>
    <row r="138" spans="1:1" x14ac:dyDescent="0.25">
      <c r="A138" t="s">
        <v>346</v>
      </c>
    </row>
    <row r="139" spans="1:1" x14ac:dyDescent="0.25">
      <c r="A139" t="s">
        <v>347</v>
      </c>
    </row>
    <row r="140" spans="1:1" x14ac:dyDescent="0.25">
      <c r="A140" t="s">
        <v>344</v>
      </c>
    </row>
    <row r="141" spans="1:1" x14ac:dyDescent="0.25">
      <c r="A141" t="s">
        <v>254</v>
      </c>
    </row>
    <row r="142" spans="1:1" x14ac:dyDescent="0.25">
      <c r="A142" t="s">
        <v>245</v>
      </c>
    </row>
    <row r="144" spans="1:1" x14ac:dyDescent="0.25">
      <c r="A144" t="s">
        <v>348</v>
      </c>
    </row>
    <row r="145" spans="1:1" x14ac:dyDescent="0.25">
      <c r="A145" t="s">
        <v>297</v>
      </c>
    </row>
    <row r="146" spans="1:1" x14ac:dyDescent="0.25">
      <c r="A146" t="s">
        <v>263</v>
      </c>
    </row>
    <row r="148" spans="1:1" x14ac:dyDescent="0.25">
      <c r="A148" t="s">
        <v>349</v>
      </c>
    </row>
    <row r="150" spans="1:1" x14ac:dyDescent="0.25">
      <c r="A150" t="s">
        <v>264</v>
      </c>
    </row>
    <row r="151" spans="1:1" x14ac:dyDescent="0.25">
      <c r="A151" t="s">
        <v>265</v>
      </c>
    </row>
    <row r="152" spans="1:1" x14ac:dyDescent="0.25">
      <c r="A152" t="s">
        <v>252</v>
      </c>
    </row>
    <row r="154" spans="1:1" x14ac:dyDescent="0.25">
      <c r="A154" t="s">
        <v>266</v>
      </c>
    </row>
    <row r="155" spans="1:1" x14ac:dyDescent="0.25">
      <c r="A155" t="s">
        <v>350</v>
      </c>
    </row>
    <row r="156" spans="1:1" x14ac:dyDescent="0.25">
      <c r="A156" t="s">
        <v>267</v>
      </c>
    </row>
    <row r="157" spans="1:1" x14ac:dyDescent="0.25">
      <c r="A157" t="s">
        <v>253</v>
      </c>
    </row>
    <row r="158" spans="1:1" x14ac:dyDescent="0.25">
      <c r="A158" t="s">
        <v>245</v>
      </c>
    </row>
    <row r="160" spans="1:1" x14ac:dyDescent="0.25">
      <c r="A160" t="s">
        <v>351</v>
      </c>
    </row>
    <row r="161" spans="1:3" x14ac:dyDescent="0.25">
      <c r="A161" t="s">
        <v>297</v>
      </c>
    </row>
    <row r="162" spans="1:3" x14ac:dyDescent="0.25">
      <c r="A162" t="s">
        <v>258</v>
      </c>
    </row>
    <row r="164" spans="1:3" x14ac:dyDescent="0.25">
      <c r="A164" t="s">
        <v>352</v>
      </c>
    </row>
    <row r="165" spans="1:3" x14ac:dyDescent="0.25">
      <c r="A165" t="s">
        <v>353</v>
      </c>
    </row>
    <row r="166" spans="1:3" x14ac:dyDescent="0.25">
      <c r="A166" t="s">
        <v>354</v>
      </c>
    </row>
    <row r="167" spans="1:3" x14ac:dyDescent="0.25">
      <c r="A167" t="s">
        <v>245</v>
      </c>
    </row>
    <row r="168" spans="1:3" x14ac:dyDescent="0.25">
      <c r="A168" t="s">
        <v>2</v>
      </c>
      <c r="C168" t="s">
        <v>247</v>
      </c>
    </row>
    <row r="170" spans="1:3" x14ac:dyDescent="0.25">
      <c r="A170" t="s">
        <v>277</v>
      </c>
    </row>
    <row r="171" spans="1:3" x14ac:dyDescent="0.25">
      <c r="A171" t="s">
        <v>278</v>
      </c>
    </row>
    <row r="172" spans="1:3" x14ac:dyDescent="0.25">
      <c r="A172" t="s">
        <v>355</v>
      </c>
    </row>
    <row r="173" spans="1:3" x14ac:dyDescent="0.25">
      <c r="A173" t="s">
        <v>278</v>
      </c>
    </row>
    <row r="174" spans="1:3" x14ac:dyDescent="0.25">
      <c r="A174" t="s">
        <v>291</v>
      </c>
    </row>
    <row r="175" spans="1:3" x14ac:dyDescent="0.25">
      <c r="A175" t="s">
        <v>356</v>
      </c>
    </row>
    <row r="176" spans="1:3" x14ac:dyDescent="0.25">
      <c r="A176" t="s">
        <v>291</v>
      </c>
    </row>
    <row r="177" spans="1:3" x14ac:dyDescent="0.25">
      <c r="A177" t="s">
        <v>279</v>
      </c>
    </row>
    <row r="179" spans="1:3" x14ac:dyDescent="0.25">
      <c r="A179" t="s">
        <v>357</v>
      </c>
      <c r="C179" t="s">
        <v>246</v>
      </c>
    </row>
    <row r="180" spans="1:3" x14ac:dyDescent="0.25">
      <c r="A180" t="s">
        <v>0</v>
      </c>
    </row>
    <row r="181" spans="1:3" x14ac:dyDescent="0.25">
      <c r="A181" t="s">
        <v>358</v>
      </c>
    </row>
    <row r="182" spans="1:3" x14ac:dyDescent="0.25">
      <c r="A182" t="s">
        <v>288</v>
      </c>
    </row>
    <row r="183" spans="1:3" x14ac:dyDescent="0.25">
      <c r="A183" t="s">
        <v>289</v>
      </c>
    </row>
    <row r="184" spans="1:3" x14ac:dyDescent="0.25">
      <c r="A184" t="s">
        <v>287</v>
      </c>
    </row>
    <row r="186" spans="1:3" x14ac:dyDescent="0.25">
      <c r="A186" t="s">
        <v>359</v>
      </c>
    </row>
    <row r="187" spans="1:3" x14ac:dyDescent="0.25">
      <c r="A187" t="s">
        <v>261</v>
      </c>
    </row>
    <row r="188" spans="1:3" x14ac:dyDescent="0.25">
      <c r="A188" t="s">
        <v>360</v>
      </c>
    </row>
    <row r="189" spans="1:3" x14ac:dyDescent="0.25">
      <c r="A189" t="s">
        <v>361</v>
      </c>
    </row>
    <row r="190" spans="1:3" x14ac:dyDescent="0.25">
      <c r="A190" t="s">
        <v>257</v>
      </c>
    </row>
    <row r="191" spans="1:3" x14ac:dyDescent="0.25">
      <c r="A191" t="s">
        <v>245</v>
      </c>
    </row>
    <row r="193" spans="1:1" x14ac:dyDescent="0.25">
      <c r="A193" t="s">
        <v>299</v>
      </c>
    </row>
    <row r="194" spans="1:1" x14ac:dyDescent="0.25">
      <c r="A194" t="s">
        <v>288</v>
      </c>
    </row>
    <row r="195" spans="1:1" x14ac:dyDescent="0.25">
      <c r="A195" t="s">
        <v>289</v>
      </c>
    </row>
    <row r="196" spans="1:1" x14ac:dyDescent="0.25">
      <c r="A196" t="s">
        <v>287</v>
      </c>
    </row>
    <row r="198" spans="1:1" x14ac:dyDescent="0.25">
      <c r="A198" t="s">
        <v>362</v>
      </c>
    </row>
    <row r="199" spans="1:1" x14ac:dyDescent="0.25">
      <c r="A199" t="s">
        <v>261</v>
      </c>
    </row>
    <row r="200" spans="1:1" x14ac:dyDescent="0.25">
      <c r="A200" t="s">
        <v>360</v>
      </c>
    </row>
    <row r="201" spans="1:1" x14ac:dyDescent="0.25">
      <c r="A201" t="s">
        <v>361</v>
      </c>
    </row>
    <row r="202" spans="1:1" x14ac:dyDescent="0.25">
      <c r="A202" t="s">
        <v>257</v>
      </c>
    </row>
    <row r="203" spans="1:1" x14ac:dyDescent="0.25">
      <c r="A203" t="s">
        <v>245</v>
      </c>
    </row>
    <row r="205" spans="1:1" x14ac:dyDescent="0.25">
      <c r="A205" t="s">
        <v>304</v>
      </c>
    </row>
    <row r="206" spans="1:1" x14ac:dyDescent="0.25">
      <c r="A206" t="s">
        <v>288</v>
      </c>
    </row>
    <row r="207" spans="1:1" x14ac:dyDescent="0.25">
      <c r="A207" t="s">
        <v>287</v>
      </c>
    </row>
    <row r="209" spans="1:1" x14ac:dyDescent="0.25">
      <c r="A209" t="s">
        <v>363</v>
      </c>
    </row>
    <row r="210" spans="1:1" x14ac:dyDescent="0.25">
      <c r="A210" t="s">
        <v>364</v>
      </c>
    </row>
    <row r="211" spans="1:1" x14ac:dyDescent="0.25">
      <c r="A211" t="s">
        <v>245</v>
      </c>
    </row>
    <row r="213" spans="1:1" x14ac:dyDescent="0.25">
      <c r="A213" t="s">
        <v>365</v>
      </c>
    </row>
    <row r="214" spans="1:1" x14ac:dyDescent="0.25">
      <c r="A214" t="s">
        <v>288</v>
      </c>
    </row>
    <row r="215" spans="1:1" x14ac:dyDescent="0.25">
      <c r="A215" t="s">
        <v>258</v>
      </c>
    </row>
    <row r="217" spans="1:1" x14ac:dyDescent="0.25">
      <c r="A217" t="s">
        <v>366</v>
      </c>
    </row>
    <row r="218" spans="1:1" x14ac:dyDescent="0.25">
      <c r="A218" t="s">
        <v>298</v>
      </c>
    </row>
    <row r="219" spans="1:1" x14ac:dyDescent="0.25">
      <c r="A219" t="s">
        <v>253</v>
      </c>
    </row>
    <row r="220" spans="1:1" x14ac:dyDescent="0.25">
      <c r="A220" t="s">
        <v>245</v>
      </c>
    </row>
    <row r="222" spans="1:1" x14ac:dyDescent="0.25">
      <c r="A222" t="s">
        <v>367</v>
      </c>
    </row>
    <row r="223" spans="1:1" x14ac:dyDescent="0.25">
      <c r="A223" t="s">
        <v>288</v>
      </c>
    </row>
    <row r="224" spans="1:1" x14ac:dyDescent="0.25">
      <c r="A224" t="s">
        <v>289</v>
      </c>
    </row>
    <row r="225" spans="1:1" x14ac:dyDescent="0.25">
      <c r="A225" t="s">
        <v>258</v>
      </c>
    </row>
    <row r="227" spans="1:1" x14ac:dyDescent="0.25">
      <c r="A227" t="s">
        <v>255</v>
      </c>
    </row>
    <row r="228" spans="1:1" x14ac:dyDescent="0.25">
      <c r="A228" t="s">
        <v>368</v>
      </c>
    </row>
    <row r="229" spans="1:1" x14ac:dyDescent="0.25">
      <c r="A229" t="s">
        <v>256</v>
      </c>
    </row>
    <row r="230" spans="1:1" x14ac:dyDescent="0.25">
      <c r="A230" t="s">
        <v>300</v>
      </c>
    </row>
    <row r="231" spans="1:1" x14ac:dyDescent="0.25">
      <c r="A231" t="s">
        <v>252</v>
      </c>
    </row>
    <row r="233" spans="1:1" x14ac:dyDescent="0.25">
      <c r="A233" t="s">
        <v>369</v>
      </c>
    </row>
    <row r="234" spans="1:1" x14ac:dyDescent="0.25">
      <c r="A234" t="s">
        <v>370</v>
      </c>
    </row>
    <row r="235" spans="1:1" x14ac:dyDescent="0.25">
      <c r="A235" t="s">
        <v>301</v>
      </c>
    </row>
    <row r="236" spans="1:1" x14ac:dyDescent="0.25">
      <c r="A236" t="s">
        <v>290</v>
      </c>
    </row>
    <row r="237" spans="1:1" x14ac:dyDescent="0.25">
      <c r="A237" t="s">
        <v>302</v>
      </c>
    </row>
    <row r="238" spans="1:1" x14ac:dyDescent="0.25">
      <c r="A238" t="s">
        <v>303</v>
      </c>
    </row>
    <row r="239" spans="1:1" x14ac:dyDescent="0.25">
      <c r="A239" t="s">
        <v>286</v>
      </c>
    </row>
    <row r="240" spans="1:1" x14ac:dyDescent="0.25">
      <c r="A240" t="s">
        <v>260</v>
      </c>
    </row>
    <row r="241" spans="1:3" x14ac:dyDescent="0.25">
      <c r="A241" t="s">
        <v>245</v>
      </c>
    </row>
    <row r="242" spans="1:3" x14ac:dyDescent="0.25">
      <c r="A242" t="s">
        <v>2</v>
      </c>
      <c r="C242" t="s">
        <v>247</v>
      </c>
    </row>
    <row r="244" spans="1:3" x14ac:dyDescent="0.25">
      <c r="A244" t="s">
        <v>277</v>
      </c>
    </row>
    <row r="245" spans="1:3" x14ac:dyDescent="0.25">
      <c r="A245" t="s">
        <v>278</v>
      </c>
    </row>
    <row r="246" spans="1:3" x14ac:dyDescent="0.25">
      <c r="A246" t="s">
        <v>371</v>
      </c>
    </row>
    <row r="247" spans="1:3" x14ac:dyDescent="0.25">
      <c r="A247" t="s">
        <v>278</v>
      </c>
    </row>
    <row r="248" spans="1:3" x14ac:dyDescent="0.25">
      <c r="A248" t="s">
        <v>291</v>
      </c>
    </row>
    <row r="249" spans="1:3" x14ac:dyDescent="0.25">
      <c r="A249" t="s">
        <v>372</v>
      </c>
    </row>
    <row r="250" spans="1:3" x14ac:dyDescent="0.25">
      <c r="A250" t="s">
        <v>291</v>
      </c>
    </row>
    <row r="251" spans="1:3" x14ac:dyDescent="0.25">
      <c r="A251" t="s">
        <v>279</v>
      </c>
    </row>
    <row r="253" spans="1:3" x14ac:dyDescent="0.25">
      <c r="A253" t="s">
        <v>373</v>
      </c>
      <c r="C253" t="s">
        <v>246</v>
      </c>
    </row>
    <row r="254" spans="1:3" x14ac:dyDescent="0.25">
      <c r="A254" t="s">
        <v>0</v>
      </c>
    </row>
    <row r="255" spans="1:3" x14ac:dyDescent="0.25">
      <c r="A255" t="s">
        <v>374</v>
      </c>
    </row>
    <row r="256" spans="1:3" x14ac:dyDescent="0.25">
      <c r="A256" t="s">
        <v>250</v>
      </c>
    </row>
    <row r="257" spans="1:1" x14ac:dyDescent="0.25">
      <c r="A257" t="s">
        <v>375</v>
      </c>
    </row>
    <row r="258" spans="1:1" x14ac:dyDescent="0.25">
      <c r="A258" t="s">
        <v>330</v>
      </c>
    </row>
    <row r="259" spans="1:1" x14ac:dyDescent="0.25">
      <c r="A259" t="s">
        <v>376</v>
      </c>
    </row>
    <row r="260" spans="1:1" x14ac:dyDescent="0.25">
      <c r="A260" t="s">
        <v>377</v>
      </c>
    </row>
    <row r="261" spans="1:1" x14ac:dyDescent="0.25">
      <c r="A261" t="s">
        <v>286</v>
      </c>
    </row>
    <row r="262" spans="1:1" x14ac:dyDescent="0.25">
      <c r="A262" t="s">
        <v>254</v>
      </c>
    </row>
    <row r="263" spans="1:1" x14ac:dyDescent="0.25">
      <c r="A263" t="s">
        <v>245</v>
      </c>
    </row>
    <row r="265" spans="1:1" x14ac:dyDescent="0.25">
      <c r="A265" t="s">
        <v>378</v>
      </c>
    </row>
    <row r="266" spans="1:1" x14ac:dyDescent="0.25">
      <c r="A266" t="s">
        <v>250</v>
      </c>
    </row>
    <row r="267" spans="1:1" x14ac:dyDescent="0.25">
      <c r="A267" t="s">
        <v>375</v>
      </c>
    </row>
    <row r="268" spans="1:1" x14ac:dyDescent="0.25">
      <c r="A268" t="s">
        <v>330</v>
      </c>
    </row>
    <row r="269" spans="1:1" x14ac:dyDescent="0.25">
      <c r="A269" t="s">
        <v>376</v>
      </c>
    </row>
    <row r="270" spans="1:1" x14ac:dyDescent="0.25">
      <c r="A270" t="s">
        <v>379</v>
      </c>
    </row>
    <row r="271" spans="1:1" x14ac:dyDescent="0.25">
      <c r="A271" t="s">
        <v>286</v>
      </c>
    </row>
    <row r="272" spans="1:1" x14ac:dyDescent="0.25">
      <c r="A272" t="s">
        <v>254</v>
      </c>
    </row>
    <row r="273" spans="1:1" x14ac:dyDescent="0.25">
      <c r="A273" t="s">
        <v>245</v>
      </c>
    </row>
    <row r="275" spans="1:1" x14ac:dyDescent="0.25">
      <c r="A275" t="s">
        <v>380</v>
      </c>
    </row>
    <row r="276" spans="1:1" x14ac:dyDescent="0.25">
      <c r="A276" t="s">
        <v>250</v>
      </c>
    </row>
    <row r="277" spans="1:1" x14ac:dyDescent="0.25">
      <c r="A277" t="s">
        <v>375</v>
      </c>
    </row>
    <row r="278" spans="1:1" x14ac:dyDescent="0.25">
      <c r="A278" t="s">
        <v>330</v>
      </c>
    </row>
    <row r="279" spans="1:1" x14ac:dyDescent="0.25">
      <c r="A279" t="s">
        <v>376</v>
      </c>
    </row>
    <row r="280" spans="1:1" x14ac:dyDescent="0.25">
      <c r="A280" t="s">
        <v>381</v>
      </c>
    </row>
    <row r="281" spans="1:1" x14ac:dyDescent="0.25">
      <c r="A281" t="s">
        <v>286</v>
      </c>
    </row>
    <row r="282" spans="1:1" x14ac:dyDescent="0.25">
      <c r="A282" t="s">
        <v>254</v>
      </c>
    </row>
    <row r="283" spans="1:1" x14ac:dyDescent="0.25">
      <c r="A283" t="s">
        <v>245</v>
      </c>
    </row>
    <row r="285" spans="1:1" x14ac:dyDescent="0.25">
      <c r="A285" t="s">
        <v>382</v>
      </c>
    </row>
    <row r="286" spans="1:1" x14ac:dyDescent="0.25">
      <c r="A286" t="s">
        <v>250</v>
      </c>
    </row>
    <row r="287" spans="1:1" x14ac:dyDescent="0.25">
      <c r="A287" t="s">
        <v>383</v>
      </c>
    </row>
    <row r="288" spans="1:1" x14ac:dyDescent="0.25">
      <c r="A288" t="s">
        <v>330</v>
      </c>
    </row>
    <row r="289" spans="1:1" x14ac:dyDescent="0.25">
      <c r="A289" t="s">
        <v>376</v>
      </c>
    </row>
    <row r="290" spans="1:1" x14ac:dyDescent="0.25">
      <c r="A290" t="s">
        <v>384</v>
      </c>
    </row>
    <row r="291" spans="1:1" x14ac:dyDescent="0.25">
      <c r="A291" t="s">
        <v>286</v>
      </c>
    </row>
    <row r="292" spans="1:1" x14ac:dyDescent="0.25">
      <c r="A292" t="s">
        <v>254</v>
      </c>
    </row>
    <row r="293" spans="1:1" x14ac:dyDescent="0.25">
      <c r="A293" t="s">
        <v>245</v>
      </c>
    </row>
    <row r="295" spans="1:1" x14ac:dyDescent="0.25">
      <c r="A295" t="s">
        <v>385</v>
      </c>
    </row>
    <row r="296" spans="1:1" x14ac:dyDescent="0.25">
      <c r="A296" t="s">
        <v>250</v>
      </c>
    </row>
    <row r="297" spans="1:1" x14ac:dyDescent="0.25">
      <c r="A297" t="s">
        <v>386</v>
      </c>
    </row>
    <row r="298" spans="1:1" x14ac:dyDescent="0.25">
      <c r="A298" t="s">
        <v>330</v>
      </c>
    </row>
    <row r="299" spans="1:1" x14ac:dyDescent="0.25">
      <c r="A299" t="s">
        <v>376</v>
      </c>
    </row>
    <row r="300" spans="1:1" x14ac:dyDescent="0.25">
      <c r="A300" t="s">
        <v>387</v>
      </c>
    </row>
    <row r="301" spans="1:1" x14ac:dyDescent="0.25">
      <c r="A301" t="s">
        <v>286</v>
      </c>
    </row>
    <row r="302" spans="1:1" x14ac:dyDescent="0.25">
      <c r="A302" t="s">
        <v>254</v>
      </c>
    </row>
    <row r="303" spans="1:1" x14ac:dyDescent="0.25">
      <c r="A303" t="s">
        <v>245</v>
      </c>
    </row>
    <row r="305" spans="1:1" x14ac:dyDescent="0.25">
      <c r="A305" t="s">
        <v>388</v>
      </c>
    </row>
    <row r="306" spans="1:1" x14ac:dyDescent="0.25">
      <c r="A306" t="s">
        <v>250</v>
      </c>
    </row>
    <row r="307" spans="1:1" x14ac:dyDescent="0.25">
      <c r="A307" t="s">
        <v>386</v>
      </c>
    </row>
    <row r="308" spans="1:1" x14ac:dyDescent="0.25">
      <c r="A308" t="s">
        <v>330</v>
      </c>
    </row>
    <row r="309" spans="1:1" x14ac:dyDescent="0.25">
      <c r="A309" t="s">
        <v>376</v>
      </c>
    </row>
    <row r="310" spans="1:1" x14ac:dyDescent="0.25">
      <c r="A310" t="s">
        <v>389</v>
      </c>
    </row>
    <row r="311" spans="1:1" x14ac:dyDescent="0.25">
      <c r="A311" t="s">
        <v>286</v>
      </c>
    </row>
    <row r="312" spans="1:1" x14ac:dyDescent="0.25">
      <c r="A312" t="s">
        <v>254</v>
      </c>
    </row>
    <row r="313" spans="1:1" x14ac:dyDescent="0.25">
      <c r="A313" t="s">
        <v>245</v>
      </c>
    </row>
    <row r="315" spans="1:1" x14ac:dyDescent="0.25">
      <c r="A315" t="s">
        <v>390</v>
      </c>
    </row>
    <row r="316" spans="1:1" x14ac:dyDescent="0.25">
      <c r="A316" t="s">
        <v>250</v>
      </c>
    </row>
    <row r="317" spans="1:1" x14ac:dyDescent="0.25">
      <c r="A317" t="s">
        <v>386</v>
      </c>
    </row>
    <row r="318" spans="1:1" x14ac:dyDescent="0.25">
      <c r="A318" t="s">
        <v>330</v>
      </c>
    </row>
    <row r="319" spans="1:1" x14ac:dyDescent="0.25">
      <c r="A319" t="s">
        <v>376</v>
      </c>
    </row>
    <row r="320" spans="1:1" x14ac:dyDescent="0.25">
      <c r="A320" t="s">
        <v>391</v>
      </c>
    </row>
    <row r="321" spans="1:1" x14ac:dyDescent="0.25">
      <c r="A321" t="s">
        <v>286</v>
      </c>
    </row>
    <row r="322" spans="1:1" x14ac:dyDescent="0.25">
      <c r="A322" t="s">
        <v>254</v>
      </c>
    </row>
    <row r="323" spans="1:1" x14ac:dyDescent="0.25">
      <c r="A323" t="s">
        <v>245</v>
      </c>
    </row>
    <row r="325" spans="1:1" x14ac:dyDescent="0.25">
      <c r="A325" t="s">
        <v>392</v>
      </c>
    </row>
    <row r="326" spans="1:1" x14ac:dyDescent="0.25">
      <c r="A326" t="s">
        <v>250</v>
      </c>
    </row>
    <row r="327" spans="1:1" x14ac:dyDescent="0.25">
      <c r="A327" t="s">
        <v>393</v>
      </c>
    </row>
    <row r="328" spans="1:1" x14ac:dyDescent="0.25">
      <c r="A328" t="s">
        <v>254</v>
      </c>
    </row>
    <row r="330" spans="1:1" x14ac:dyDescent="0.25">
      <c r="A330" t="s">
        <v>264</v>
      </c>
    </row>
    <row r="331" spans="1:1" x14ac:dyDescent="0.25">
      <c r="A331" t="s">
        <v>265</v>
      </c>
    </row>
    <row r="332" spans="1:1" x14ac:dyDescent="0.25">
      <c r="A332" t="s">
        <v>252</v>
      </c>
    </row>
    <row r="334" spans="1:1" x14ac:dyDescent="0.25">
      <c r="A334" t="s">
        <v>394</v>
      </c>
    </row>
    <row r="335" spans="1:1" x14ac:dyDescent="0.25">
      <c r="A335" t="s">
        <v>330</v>
      </c>
    </row>
    <row r="336" spans="1:1" x14ac:dyDescent="0.25">
      <c r="A336" t="s">
        <v>376</v>
      </c>
    </row>
    <row r="337" spans="1:1" x14ac:dyDescent="0.25">
      <c r="A337" t="s">
        <v>379</v>
      </c>
    </row>
    <row r="338" spans="1:1" x14ac:dyDescent="0.25">
      <c r="A338" t="s">
        <v>286</v>
      </c>
    </row>
    <row r="339" spans="1:1" x14ac:dyDescent="0.25">
      <c r="A339" t="s">
        <v>254</v>
      </c>
    </row>
    <row r="341" spans="1:1" x14ac:dyDescent="0.25">
      <c r="A341" t="s">
        <v>266</v>
      </c>
    </row>
    <row r="342" spans="1:1" x14ac:dyDescent="0.25">
      <c r="A342" t="s">
        <v>395</v>
      </c>
    </row>
    <row r="343" spans="1:1" x14ac:dyDescent="0.25">
      <c r="A343" t="s">
        <v>267</v>
      </c>
    </row>
    <row r="344" spans="1:1" x14ac:dyDescent="0.25">
      <c r="A344" t="s">
        <v>253</v>
      </c>
    </row>
    <row r="345" spans="1:1" x14ac:dyDescent="0.25">
      <c r="A345" t="s">
        <v>245</v>
      </c>
    </row>
    <row r="347" spans="1:1" x14ac:dyDescent="0.25">
      <c r="A347" t="s">
        <v>396</v>
      </c>
    </row>
    <row r="348" spans="1:1" x14ac:dyDescent="0.25">
      <c r="A348" t="s">
        <v>250</v>
      </c>
    </row>
    <row r="349" spans="1:1" x14ac:dyDescent="0.25">
      <c r="A349" t="s">
        <v>397</v>
      </c>
    </row>
    <row r="351" spans="1:1" x14ac:dyDescent="0.25">
      <c r="A351" t="s">
        <v>398</v>
      </c>
    </row>
    <row r="352" spans="1:1" x14ac:dyDescent="0.25">
      <c r="A352" t="s">
        <v>265</v>
      </c>
    </row>
    <row r="353" spans="1:3" x14ac:dyDescent="0.25">
      <c r="A353" t="s">
        <v>252</v>
      </c>
    </row>
    <row r="355" spans="1:3" x14ac:dyDescent="0.25">
      <c r="A355" t="s">
        <v>399</v>
      </c>
    </row>
    <row r="356" spans="1:3" x14ac:dyDescent="0.25">
      <c r="A356" t="s">
        <v>254</v>
      </c>
    </row>
    <row r="358" spans="1:3" x14ac:dyDescent="0.25">
      <c r="A358" t="s">
        <v>266</v>
      </c>
    </row>
    <row r="359" spans="1:3" x14ac:dyDescent="0.25">
      <c r="A359" t="s">
        <v>400</v>
      </c>
    </row>
    <row r="360" spans="1:3" x14ac:dyDescent="0.25">
      <c r="A360" t="s">
        <v>267</v>
      </c>
    </row>
    <row r="361" spans="1:3" x14ac:dyDescent="0.25">
      <c r="A361" t="s">
        <v>253</v>
      </c>
    </row>
    <row r="362" spans="1:3" x14ac:dyDescent="0.25">
      <c r="A362" t="s">
        <v>245</v>
      </c>
    </row>
    <row r="363" spans="1:3" x14ac:dyDescent="0.25">
      <c r="A363" t="s">
        <v>2</v>
      </c>
      <c r="C363" t="s">
        <v>247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773C1-2158-4BEE-9B46-2F3C88CE58D0}">
  <sheetPr codeName="Sheet5"/>
  <dimension ref="A1:I2"/>
  <sheetViews>
    <sheetView workbookViewId="0">
      <selection activeCell="G18" sqref="G18"/>
    </sheetView>
  </sheetViews>
  <sheetFormatPr defaultRowHeight="15" x14ac:dyDescent="0.25"/>
  <cols>
    <col min="1" max="2" width="40.7109375" customWidth="1"/>
    <col min="3" max="9" width="16.85546875" customWidth="1"/>
  </cols>
  <sheetData>
    <row r="1" spans="1:9" x14ac:dyDescent="0.25">
      <c r="A1" t="s">
        <v>467</v>
      </c>
      <c r="B1" t="s">
        <v>466</v>
      </c>
      <c r="C1" t="s">
        <v>468</v>
      </c>
      <c r="D1" t="s">
        <v>469</v>
      </c>
      <c r="E1" t="s">
        <v>470</v>
      </c>
      <c r="F1" t="s">
        <v>471</v>
      </c>
      <c r="G1" t="s">
        <v>472</v>
      </c>
      <c r="H1" t="s">
        <v>473</v>
      </c>
      <c r="I1" t="s">
        <v>474</v>
      </c>
    </row>
    <row r="2" spans="1:9" x14ac:dyDescent="0.25">
      <c r="C2" s="10" t="s">
        <v>459</v>
      </c>
      <c r="D2" s="10" t="s">
        <v>460</v>
      </c>
      <c r="E2" s="10" t="s">
        <v>461</v>
      </c>
      <c r="F2" s="10" t="s">
        <v>462</v>
      </c>
      <c r="G2" s="10" t="s">
        <v>463</v>
      </c>
      <c r="H2" s="10" t="s">
        <v>464</v>
      </c>
      <c r="I2" s="10" t="s">
        <v>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composer</vt:lpstr>
      <vt:lpstr>Sheet1</vt:lpstr>
      <vt:lpstr>sp</vt:lpstr>
      <vt:lpstr>t2php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 Othman</dc:creator>
  <cp:lastModifiedBy>Ahmad Faros Othman</cp:lastModifiedBy>
  <dcterms:created xsi:type="dcterms:W3CDTF">2026-07-21T02:41:46Z</dcterms:created>
  <dcterms:modified xsi:type="dcterms:W3CDTF">2026-07-27T08:29:15Z</dcterms:modified>
</cp:coreProperties>
</file>